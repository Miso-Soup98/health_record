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EA0F7E-BDF0-4E59-B1FE-1E5FB9AF0A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1" r:id="rId1"/>
    <sheet name="Daily_Log" sheetId="2" r:id="rId2"/>
    <sheet name="Weight_Log" sheetId="3" r:id="rId3"/>
    <sheet name="Food_DB" sheetId="4" r:id="rId4"/>
    <sheet name="Weekly_Summary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 a="1"/>
  <c r="B16" i="1" s="1"/>
  <c r="B14" i="1"/>
  <c r="G55" i="5"/>
  <c r="F55" i="5"/>
  <c r="E55" i="5"/>
  <c r="C55" i="5"/>
  <c r="B55" i="5"/>
  <c r="G54" i="5"/>
  <c r="F54" i="5"/>
  <c r="E54" i="5"/>
  <c r="G53" i="5"/>
  <c r="H53" i="5" s="1"/>
  <c r="F53" i="5"/>
  <c r="E53" i="5"/>
  <c r="G52" i="5"/>
  <c r="H52" i="5" s="1"/>
  <c r="F52" i="5"/>
  <c r="E52" i="5"/>
  <c r="G51" i="5"/>
  <c r="F51" i="5"/>
  <c r="E51" i="5"/>
  <c r="G50" i="5"/>
  <c r="H50" i="5" s="1"/>
  <c r="F50" i="5"/>
  <c r="E50" i="5"/>
  <c r="G49" i="5"/>
  <c r="F49" i="5"/>
  <c r="E49" i="5"/>
  <c r="G48" i="5"/>
  <c r="H48" i="5" s="1"/>
  <c r="F48" i="5"/>
  <c r="E48" i="5"/>
  <c r="G47" i="5"/>
  <c r="F47" i="5"/>
  <c r="E47" i="5"/>
  <c r="G46" i="5"/>
  <c r="H46" i="5" s="1"/>
  <c r="F46" i="5"/>
  <c r="E46" i="5"/>
  <c r="G45" i="5"/>
  <c r="F45" i="5"/>
  <c r="E45" i="5"/>
  <c r="G44" i="5"/>
  <c r="F44" i="5"/>
  <c r="E44" i="5"/>
  <c r="G43" i="5"/>
  <c r="H43" i="5" s="1"/>
  <c r="F43" i="5"/>
  <c r="E43" i="5"/>
  <c r="G42" i="5"/>
  <c r="H42" i="5" s="1"/>
  <c r="F42" i="5"/>
  <c r="E42" i="5"/>
  <c r="G41" i="5"/>
  <c r="F41" i="5"/>
  <c r="E41" i="5"/>
  <c r="G40" i="5"/>
  <c r="F40" i="5"/>
  <c r="E40" i="5"/>
  <c r="G39" i="5"/>
  <c r="H39" i="5" s="1"/>
  <c r="F39" i="5"/>
  <c r="E39" i="5"/>
  <c r="G38" i="5"/>
  <c r="H38" i="5" s="1"/>
  <c r="F38" i="5"/>
  <c r="E38" i="5"/>
  <c r="G37" i="5"/>
  <c r="F37" i="5"/>
  <c r="E37" i="5"/>
  <c r="G36" i="5"/>
  <c r="H36" i="5" s="1"/>
  <c r="F36" i="5"/>
  <c r="E36" i="5"/>
  <c r="G35" i="5"/>
  <c r="F35" i="5"/>
  <c r="E35" i="5"/>
  <c r="G34" i="5"/>
  <c r="H34" i="5" s="1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H26" i="5" s="1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H21" i="5" s="1"/>
  <c r="F21" i="5"/>
  <c r="E21" i="5"/>
  <c r="G20" i="5"/>
  <c r="F20" i="5"/>
  <c r="E20" i="5"/>
  <c r="G19" i="5"/>
  <c r="H19" i="5" s="1"/>
  <c r="F19" i="5"/>
  <c r="E19" i="5"/>
  <c r="G18" i="5"/>
  <c r="F18" i="5"/>
  <c r="E18" i="5"/>
  <c r="G17" i="5"/>
  <c r="F17" i="5"/>
  <c r="E17" i="5"/>
  <c r="G16" i="5"/>
  <c r="H16" i="5" s="1"/>
  <c r="F16" i="5"/>
  <c r="E16" i="5"/>
  <c r="G15" i="5"/>
  <c r="F15" i="5"/>
  <c r="E15" i="5"/>
  <c r="G14" i="5"/>
  <c r="F14" i="5"/>
  <c r="E14" i="5"/>
  <c r="G13" i="5"/>
  <c r="F13" i="5"/>
  <c r="E13" i="5"/>
  <c r="G12" i="5"/>
  <c r="H12" i="5" s="1"/>
  <c r="F12" i="5"/>
  <c r="E12" i="5"/>
  <c r="G11" i="5"/>
  <c r="F11" i="5"/>
  <c r="E11" i="5"/>
  <c r="G10" i="5"/>
  <c r="H10" i="5" s="1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G2" i="5"/>
  <c r="H2" i="5" s="1"/>
  <c r="F2" i="5"/>
  <c r="E2" i="5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F371" i="2"/>
  <c r="AE371" i="2"/>
  <c r="Z371" i="2"/>
  <c r="Y371" i="2"/>
  <c r="X371" i="2"/>
  <c r="V371" i="2"/>
  <c r="U371" i="2"/>
  <c r="T371" i="2"/>
  <c r="S371" i="2"/>
  <c r="R371" i="2"/>
  <c r="Q371" i="2"/>
  <c r="P371" i="2"/>
  <c r="O371" i="2"/>
  <c r="N371" i="2"/>
  <c r="AF370" i="2"/>
  <c r="AE370" i="2"/>
  <c r="AG370" i="2" s="1"/>
  <c r="Z370" i="2"/>
  <c r="Y370" i="2"/>
  <c r="X370" i="2"/>
  <c r="V370" i="2"/>
  <c r="U370" i="2"/>
  <c r="T370" i="2"/>
  <c r="S370" i="2"/>
  <c r="R370" i="2"/>
  <c r="Q370" i="2"/>
  <c r="P370" i="2"/>
  <c r="O370" i="2"/>
  <c r="W370" i="2" s="1"/>
  <c r="N370" i="2"/>
  <c r="AF369" i="2"/>
  <c r="AE369" i="2"/>
  <c r="AG369" i="2" s="1"/>
  <c r="Z369" i="2"/>
  <c r="Y369" i="2"/>
  <c r="X369" i="2"/>
  <c r="V369" i="2"/>
  <c r="U369" i="2"/>
  <c r="T369" i="2"/>
  <c r="S369" i="2"/>
  <c r="R369" i="2"/>
  <c r="Q369" i="2"/>
  <c r="P369" i="2"/>
  <c r="O369" i="2"/>
  <c r="N369" i="2"/>
  <c r="AG368" i="2"/>
  <c r="AF368" i="2"/>
  <c r="AE368" i="2"/>
  <c r="Z368" i="2"/>
  <c r="Y368" i="2"/>
  <c r="X368" i="2"/>
  <c r="V368" i="2"/>
  <c r="W368" i="2" s="1"/>
  <c r="U368" i="2"/>
  <c r="T368" i="2"/>
  <c r="S368" i="2"/>
  <c r="R368" i="2"/>
  <c r="Q368" i="2"/>
  <c r="P368" i="2"/>
  <c r="O368" i="2"/>
  <c r="N368" i="2"/>
  <c r="AF367" i="2"/>
  <c r="AG367" i="2" s="1"/>
  <c r="AE367" i="2"/>
  <c r="Z367" i="2"/>
  <c r="Y367" i="2"/>
  <c r="X367" i="2"/>
  <c r="V367" i="2"/>
  <c r="U367" i="2"/>
  <c r="T367" i="2"/>
  <c r="S367" i="2"/>
  <c r="R367" i="2"/>
  <c r="Q367" i="2"/>
  <c r="P367" i="2"/>
  <c r="O367" i="2"/>
  <c r="N367" i="2"/>
  <c r="W367" i="2" s="1"/>
  <c r="AH367" i="2" s="1"/>
  <c r="AF366" i="2"/>
  <c r="AG366" i="2" s="1"/>
  <c r="AE366" i="2"/>
  <c r="Z366" i="2"/>
  <c r="Y366" i="2"/>
  <c r="X366" i="2"/>
  <c r="V366" i="2"/>
  <c r="U366" i="2"/>
  <c r="T366" i="2"/>
  <c r="S366" i="2"/>
  <c r="R366" i="2"/>
  <c r="Q366" i="2"/>
  <c r="P366" i="2"/>
  <c r="O366" i="2"/>
  <c r="N366" i="2"/>
  <c r="AF365" i="2"/>
  <c r="AG365" i="2" s="1"/>
  <c r="AE365" i="2"/>
  <c r="Z365" i="2"/>
  <c r="Y365" i="2"/>
  <c r="X365" i="2"/>
  <c r="V365" i="2"/>
  <c r="U365" i="2"/>
  <c r="T365" i="2"/>
  <c r="S365" i="2"/>
  <c r="R365" i="2"/>
  <c r="Q365" i="2"/>
  <c r="P365" i="2"/>
  <c r="W365" i="2" s="1"/>
  <c r="AH365" i="2" s="1"/>
  <c r="O365" i="2"/>
  <c r="N365" i="2"/>
  <c r="AF364" i="2"/>
  <c r="AG364" i="2" s="1"/>
  <c r="AE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AF363" i="2"/>
  <c r="AE363" i="2"/>
  <c r="AG363" i="2" s="1"/>
  <c r="Z363" i="2"/>
  <c r="Y363" i="2"/>
  <c r="X363" i="2"/>
  <c r="V363" i="2"/>
  <c r="U363" i="2"/>
  <c r="T363" i="2"/>
  <c r="S363" i="2"/>
  <c r="R363" i="2"/>
  <c r="Q363" i="2"/>
  <c r="P363" i="2"/>
  <c r="O363" i="2"/>
  <c r="W363" i="2" s="1"/>
  <c r="AH363" i="2" s="1"/>
  <c r="N363" i="2"/>
  <c r="AF362" i="2"/>
  <c r="AG362" i="2" s="1"/>
  <c r="AE362" i="2"/>
  <c r="Z362" i="2"/>
  <c r="Y362" i="2"/>
  <c r="X362" i="2"/>
  <c r="V362" i="2"/>
  <c r="U362" i="2"/>
  <c r="T362" i="2"/>
  <c r="S362" i="2"/>
  <c r="R362" i="2"/>
  <c r="Q362" i="2"/>
  <c r="P362" i="2"/>
  <c r="O362" i="2"/>
  <c r="W362" i="2" s="1"/>
  <c r="N362" i="2"/>
  <c r="AG361" i="2"/>
  <c r="AF361" i="2"/>
  <c r="AE361" i="2"/>
  <c r="Z361" i="2"/>
  <c r="Y361" i="2"/>
  <c r="X361" i="2"/>
  <c r="V361" i="2"/>
  <c r="U361" i="2"/>
  <c r="T361" i="2"/>
  <c r="S361" i="2"/>
  <c r="R361" i="2"/>
  <c r="Q361" i="2"/>
  <c r="W361" i="2" s="1"/>
  <c r="AH361" i="2" s="1"/>
  <c r="P361" i="2"/>
  <c r="O361" i="2"/>
  <c r="N361" i="2"/>
  <c r="AF360" i="2"/>
  <c r="AG360" i="2" s="1"/>
  <c r="AE360" i="2"/>
  <c r="Z360" i="2"/>
  <c r="Y360" i="2"/>
  <c r="X360" i="2"/>
  <c r="V360" i="2"/>
  <c r="U360" i="2"/>
  <c r="T360" i="2"/>
  <c r="S360" i="2"/>
  <c r="R360" i="2"/>
  <c r="Q360" i="2"/>
  <c r="P360" i="2"/>
  <c r="O360" i="2"/>
  <c r="N360" i="2"/>
  <c r="AF359" i="2"/>
  <c r="AE359" i="2"/>
  <c r="AG359" i="2" s="1"/>
  <c r="Z359" i="2"/>
  <c r="Y359" i="2"/>
  <c r="X359" i="2"/>
  <c r="V359" i="2"/>
  <c r="U359" i="2"/>
  <c r="T359" i="2"/>
  <c r="S359" i="2"/>
  <c r="W359" i="2" s="1"/>
  <c r="R359" i="2"/>
  <c r="Q359" i="2"/>
  <c r="P359" i="2"/>
  <c r="O359" i="2"/>
  <c r="N359" i="2"/>
  <c r="AF358" i="2"/>
  <c r="AE358" i="2"/>
  <c r="Z358" i="2"/>
  <c r="Y358" i="2"/>
  <c r="X358" i="2"/>
  <c r="V358" i="2"/>
  <c r="U358" i="2"/>
  <c r="T358" i="2"/>
  <c r="S358" i="2"/>
  <c r="R358" i="2"/>
  <c r="Q358" i="2"/>
  <c r="P358" i="2"/>
  <c r="W358" i="2" s="1"/>
  <c r="O358" i="2"/>
  <c r="N358" i="2"/>
  <c r="AF357" i="2"/>
  <c r="AE357" i="2"/>
  <c r="AG357" i="2" s="1"/>
  <c r="Z357" i="2"/>
  <c r="Y357" i="2"/>
  <c r="X357" i="2"/>
  <c r="V357" i="2"/>
  <c r="U357" i="2"/>
  <c r="T357" i="2"/>
  <c r="S357" i="2"/>
  <c r="R357" i="2"/>
  <c r="Q357" i="2"/>
  <c r="P357" i="2"/>
  <c r="O357" i="2"/>
  <c r="N357" i="2"/>
  <c r="W357" i="2" s="1"/>
  <c r="AF356" i="2"/>
  <c r="AE356" i="2"/>
  <c r="AG356" i="2" s="1"/>
  <c r="Z356" i="2"/>
  <c r="Y356" i="2"/>
  <c r="X356" i="2"/>
  <c r="V356" i="2"/>
  <c r="U356" i="2"/>
  <c r="T356" i="2"/>
  <c r="S356" i="2"/>
  <c r="R356" i="2"/>
  <c r="Q356" i="2"/>
  <c r="P356" i="2"/>
  <c r="O356" i="2"/>
  <c r="N356" i="2"/>
  <c r="W356" i="2" s="1"/>
  <c r="AG355" i="2"/>
  <c r="AF355" i="2"/>
  <c r="AE355" i="2"/>
  <c r="Z355" i="2"/>
  <c r="Y355" i="2"/>
  <c r="X355" i="2"/>
  <c r="V355" i="2"/>
  <c r="U355" i="2"/>
  <c r="T355" i="2"/>
  <c r="S355" i="2"/>
  <c r="R355" i="2"/>
  <c r="Q355" i="2"/>
  <c r="P355" i="2"/>
  <c r="O355" i="2"/>
  <c r="N355" i="2"/>
  <c r="AF354" i="2"/>
  <c r="AG354" i="2" s="1"/>
  <c r="AE354" i="2"/>
  <c r="Z354" i="2"/>
  <c r="Y354" i="2"/>
  <c r="X354" i="2"/>
  <c r="V354" i="2"/>
  <c r="U354" i="2"/>
  <c r="T354" i="2"/>
  <c r="S354" i="2"/>
  <c r="R354" i="2"/>
  <c r="W354" i="2" s="1"/>
  <c r="AH354" i="2" s="1"/>
  <c r="Q354" i="2"/>
  <c r="P354" i="2"/>
  <c r="O354" i="2"/>
  <c r="N354" i="2"/>
  <c r="AF353" i="2"/>
  <c r="AE353" i="2"/>
  <c r="Z353" i="2"/>
  <c r="Y353" i="2"/>
  <c r="X353" i="2"/>
  <c r="V353" i="2"/>
  <c r="U353" i="2"/>
  <c r="T353" i="2"/>
  <c r="S353" i="2"/>
  <c r="R353" i="2"/>
  <c r="Q353" i="2"/>
  <c r="P353" i="2"/>
  <c r="O353" i="2"/>
  <c r="N353" i="2"/>
  <c r="AF352" i="2"/>
  <c r="AE352" i="2"/>
  <c r="AG352" i="2" s="1"/>
  <c r="Z352" i="2"/>
  <c r="Y352" i="2"/>
  <c r="X352" i="2"/>
  <c r="V352" i="2"/>
  <c r="U352" i="2"/>
  <c r="T352" i="2"/>
  <c r="S352" i="2"/>
  <c r="R352" i="2"/>
  <c r="Q352" i="2"/>
  <c r="P352" i="2"/>
  <c r="O352" i="2"/>
  <c r="N352" i="2"/>
  <c r="AF351" i="2"/>
  <c r="AE351" i="2"/>
  <c r="Z351" i="2"/>
  <c r="Y351" i="2"/>
  <c r="X351" i="2"/>
  <c r="V351" i="2"/>
  <c r="U351" i="2"/>
  <c r="T351" i="2"/>
  <c r="S351" i="2"/>
  <c r="R351" i="2"/>
  <c r="Q351" i="2"/>
  <c r="P351" i="2"/>
  <c r="O351" i="2"/>
  <c r="N351" i="2"/>
  <c r="W351" i="2" s="1"/>
  <c r="AF350" i="2"/>
  <c r="AE350" i="2"/>
  <c r="Z350" i="2"/>
  <c r="Y350" i="2"/>
  <c r="X350" i="2"/>
  <c r="V350" i="2"/>
  <c r="U350" i="2"/>
  <c r="T350" i="2"/>
  <c r="S350" i="2"/>
  <c r="R350" i="2"/>
  <c r="Q350" i="2"/>
  <c r="P350" i="2"/>
  <c r="O350" i="2"/>
  <c r="N350" i="2"/>
  <c r="W350" i="2" s="1"/>
  <c r="AF349" i="2"/>
  <c r="AE349" i="2"/>
  <c r="AG349" i="2" s="1"/>
  <c r="Z349" i="2"/>
  <c r="Y349" i="2"/>
  <c r="X349" i="2"/>
  <c r="V349" i="2"/>
  <c r="U349" i="2"/>
  <c r="T349" i="2"/>
  <c r="S349" i="2"/>
  <c r="R349" i="2"/>
  <c r="Q349" i="2"/>
  <c r="P349" i="2"/>
  <c r="O349" i="2"/>
  <c r="W349" i="2" s="1"/>
  <c r="N349" i="2"/>
  <c r="AF348" i="2"/>
  <c r="AE348" i="2"/>
  <c r="AG348" i="2" s="1"/>
  <c r="Z348" i="2"/>
  <c r="Y348" i="2"/>
  <c r="X348" i="2"/>
  <c r="V348" i="2"/>
  <c r="U348" i="2"/>
  <c r="T348" i="2"/>
  <c r="S348" i="2"/>
  <c r="R348" i="2"/>
  <c r="Q348" i="2"/>
  <c r="P348" i="2"/>
  <c r="O348" i="2"/>
  <c r="N348" i="2"/>
  <c r="W348" i="2" s="1"/>
  <c r="AF347" i="2"/>
  <c r="AE347" i="2"/>
  <c r="Z347" i="2"/>
  <c r="Y347" i="2"/>
  <c r="X347" i="2"/>
  <c r="V347" i="2"/>
  <c r="U347" i="2"/>
  <c r="T347" i="2"/>
  <c r="S347" i="2"/>
  <c r="R347" i="2"/>
  <c r="Q347" i="2"/>
  <c r="P347" i="2"/>
  <c r="O347" i="2"/>
  <c r="N347" i="2"/>
  <c r="W347" i="2" s="1"/>
  <c r="AF346" i="2"/>
  <c r="AE346" i="2"/>
  <c r="Z346" i="2"/>
  <c r="Y346" i="2"/>
  <c r="X346" i="2"/>
  <c r="V346" i="2"/>
  <c r="U346" i="2"/>
  <c r="T346" i="2"/>
  <c r="S346" i="2"/>
  <c r="R346" i="2"/>
  <c r="Q346" i="2"/>
  <c r="P346" i="2"/>
  <c r="O346" i="2"/>
  <c r="N346" i="2"/>
  <c r="W346" i="2" s="1"/>
  <c r="AF345" i="2"/>
  <c r="AE345" i="2"/>
  <c r="AG345" i="2" s="1"/>
  <c r="Z345" i="2"/>
  <c r="Y345" i="2"/>
  <c r="X345" i="2"/>
  <c r="V345" i="2"/>
  <c r="U345" i="2"/>
  <c r="T345" i="2"/>
  <c r="S345" i="2"/>
  <c r="R345" i="2"/>
  <c r="Q345" i="2"/>
  <c r="P345" i="2"/>
  <c r="O345" i="2"/>
  <c r="N345" i="2"/>
  <c r="AF344" i="2"/>
  <c r="AE344" i="2"/>
  <c r="Z344" i="2"/>
  <c r="Y344" i="2"/>
  <c r="X344" i="2"/>
  <c r="V344" i="2"/>
  <c r="U344" i="2"/>
  <c r="T344" i="2"/>
  <c r="S344" i="2"/>
  <c r="R344" i="2"/>
  <c r="Q344" i="2"/>
  <c r="W344" i="2" s="1"/>
  <c r="P344" i="2"/>
  <c r="O344" i="2"/>
  <c r="N344" i="2"/>
  <c r="AF343" i="2"/>
  <c r="AE343" i="2"/>
  <c r="Z343" i="2"/>
  <c r="Y343" i="2"/>
  <c r="X343" i="2"/>
  <c r="V343" i="2"/>
  <c r="U343" i="2"/>
  <c r="T343" i="2"/>
  <c r="S343" i="2"/>
  <c r="R343" i="2"/>
  <c r="Q343" i="2"/>
  <c r="P343" i="2"/>
  <c r="O343" i="2"/>
  <c r="N343" i="2"/>
  <c r="AF342" i="2"/>
  <c r="AE342" i="2"/>
  <c r="AG342" i="2" s="1"/>
  <c r="Z342" i="2"/>
  <c r="Y342" i="2"/>
  <c r="X342" i="2"/>
  <c r="V342" i="2"/>
  <c r="U342" i="2"/>
  <c r="T342" i="2"/>
  <c r="S342" i="2"/>
  <c r="R342" i="2"/>
  <c r="Q342" i="2"/>
  <c r="P342" i="2"/>
  <c r="O342" i="2"/>
  <c r="W342" i="2" s="1"/>
  <c r="AH342" i="2" s="1"/>
  <c r="N342" i="2"/>
  <c r="AF341" i="2"/>
  <c r="AE341" i="2"/>
  <c r="AG341" i="2" s="1"/>
  <c r="Z341" i="2"/>
  <c r="Y341" i="2"/>
  <c r="X341" i="2"/>
  <c r="V341" i="2"/>
  <c r="U341" i="2"/>
  <c r="T341" i="2"/>
  <c r="S341" i="2"/>
  <c r="R341" i="2"/>
  <c r="Q341" i="2"/>
  <c r="P341" i="2"/>
  <c r="O341" i="2"/>
  <c r="N341" i="2"/>
  <c r="AG340" i="2"/>
  <c r="AF340" i="2"/>
  <c r="AE340" i="2"/>
  <c r="Z340" i="2"/>
  <c r="Y340" i="2"/>
  <c r="X340" i="2"/>
  <c r="V340" i="2"/>
  <c r="U340" i="2"/>
  <c r="T340" i="2"/>
  <c r="S340" i="2"/>
  <c r="R340" i="2"/>
  <c r="Q340" i="2"/>
  <c r="P340" i="2"/>
  <c r="W340" i="2" s="1"/>
  <c r="O340" i="2"/>
  <c r="N340" i="2"/>
  <c r="AF339" i="2"/>
  <c r="AE339" i="2"/>
  <c r="Z339" i="2"/>
  <c r="Y339" i="2"/>
  <c r="X339" i="2"/>
  <c r="V339" i="2"/>
  <c r="U339" i="2"/>
  <c r="T339" i="2"/>
  <c r="S339" i="2"/>
  <c r="R339" i="2"/>
  <c r="Q339" i="2"/>
  <c r="P339" i="2"/>
  <c r="O339" i="2"/>
  <c r="N339" i="2"/>
  <c r="W339" i="2" s="1"/>
  <c r="AF338" i="2"/>
  <c r="AE338" i="2"/>
  <c r="Z338" i="2"/>
  <c r="Y338" i="2"/>
  <c r="X338" i="2"/>
  <c r="V338" i="2"/>
  <c r="U338" i="2"/>
  <c r="T338" i="2"/>
  <c r="S338" i="2"/>
  <c r="R338" i="2"/>
  <c r="Q338" i="2"/>
  <c r="P338" i="2"/>
  <c r="O338" i="2"/>
  <c r="N338" i="2"/>
  <c r="W338" i="2" s="1"/>
  <c r="AF337" i="2"/>
  <c r="AE337" i="2"/>
  <c r="AG337" i="2" s="1"/>
  <c r="Z337" i="2"/>
  <c r="Y337" i="2"/>
  <c r="X337" i="2"/>
  <c r="V337" i="2"/>
  <c r="U337" i="2"/>
  <c r="W337" i="2" s="1"/>
  <c r="T337" i="2"/>
  <c r="S337" i="2"/>
  <c r="R337" i="2"/>
  <c r="Q337" i="2"/>
  <c r="P337" i="2"/>
  <c r="O337" i="2"/>
  <c r="N337" i="2"/>
  <c r="AF336" i="2"/>
  <c r="AG336" i="2" s="1"/>
  <c r="AE336" i="2"/>
  <c r="Z336" i="2"/>
  <c r="Y336" i="2"/>
  <c r="X336" i="2"/>
  <c r="V336" i="2"/>
  <c r="U336" i="2"/>
  <c r="T336" i="2"/>
  <c r="S336" i="2"/>
  <c r="R336" i="2"/>
  <c r="W336" i="2" s="1"/>
  <c r="Q336" i="2"/>
  <c r="P336" i="2"/>
  <c r="O336" i="2"/>
  <c r="N336" i="2"/>
  <c r="AF335" i="2"/>
  <c r="AE335" i="2"/>
  <c r="AG335" i="2" s="1"/>
  <c r="Z335" i="2"/>
  <c r="Y335" i="2"/>
  <c r="X335" i="2"/>
  <c r="V335" i="2"/>
  <c r="U335" i="2"/>
  <c r="T335" i="2"/>
  <c r="S335" i="2"/>
  <c r="R335" i="2"/>
  <c r="Q335" i="2"/>
  <c r="P335" i="2"/>
  <c r="O335" i="2"/>
  <c r="W335" i="2" s="1"/>
  <c r="N335" i="2"/>
  <c r="AF334" i="2"/>
  <c r="AG334" i="2" s="1"/>
  <c r="AE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AG333" i="2"/>
  <c r="AF333" i="2"/>
  <c r="AE333" i="2"/>
  <c r="Z333" i="2"/>
  <c r="Y333" i="2"/>
  <c r="X333" i="2"/>
  <c r="V333" i="2"/>
  <c r="U333" i="2"/>
  <c r="T333" i="2"/>
  <c r="S333" i="2"/>
  <c r="R333" i="2"/>
  <c r="Q333" i="2"/>
  <c r="P333" i="2"/>
  <c r="O333" i="2"/>
  <c r="W333" i="2" s="1"/>
  <c r="N333" i="2"/>
  <c r="AG332" i="2"/>
  <c r="AF332" i="2"/>
  <c r="AE332" i="2"/>
  <c r="Z332" i="2"/>
  <c r="Y332" i="2"/>
  <c r="X332" i="2"/>
  <c r="V332" i="2"/>
  <c r="U332" i="2"/>
  <c r="T332" i="2"/>
  <c r="S332" i="2"/>
  <c r="R332" i="2"/>
  <c r="Q332" i="2"/>
  <c r="P332" i="2"/>
  <c r="O332" i="2"/>
  <c r="N332" i="2"/>
  <c r="AF331" i="2"/>
  <c r="AE331" i="2"/>
  <c r="AG331" i="2" s="1"/>
  <c r="Z331" i="2"/>
  <c r="Y331" i="2"/>
  <c r="X331" i="2"/>
  <c r="V331" i="2"/>
  <c r="U331" i="2"/>
  <c r="T331" i="2"/>
  <c r="S331" i="2"/>
  <c r="R331" i="2"/>
  <c r="Q331" i="2"/>
  <c r="P331" i="2"/>
  <c r="O331" i="2"/>
  <c r="N331" i="2"/>
  <c r="W331" i="2" s="1"/>
  <c r="AF330" i="2"/>
  <c r="AE330" i="2"/>
  <c r="Z330" i="2"/>
  <c r="Y330" i="2"/>
  <c r="X330" i="2"/>
  <c r="V330" i="2"/>
  <c r="U330" i="2"/>
  <c r="T330" i="2"/>
  <c r="S330" i="2"/>
  <c r="R330" i="2"/>
  <c r="Q330" i="2"/>
  <c r="P330" i="2"/>
  <c r="W330" i="2" s="1"/>
  <c r="O330" i="2"/>
  <c r="N330" i="2"/>
  <c r="AF329" i="2"/>
  <c r="AE329" i="2"/>
  <c r="AG329" i="2" s="1"/>
  <c r="Z329" i="2"/>
  <c r="Y329" i="2"/>
  <c r="X329" i="2"/>
  <c r="V329" i="2"/>
  <c r="U329" i="2"/>
  <c r="T329" i="2"/>
  <c r="S329" i="2"/>
  <c r="W329" i="2" s="1"/>
  <c r="R329" i="2"/>
  <c r="Q329" i="2"/>
  <c r="P329" i="2"/>
  <c r="O329" i="2"/>
  <c r="N329" i="2"/>
  <c r="AF328" i="2"/>
  <c r="AE328" i="2"/>
  <c r="AG328" i="2" s="1"/>
  <c r="Z328" i="2"/>
  <c r="Y328" i="2"/>
  <c r="X328" i="2"/>
  <c r="V328" i="2"/>
  <c r="U328" i="2"/>
  <c r="T328" i="2"/>
  <c r="S328" i="2"/>
  <c r="R328" i="2"/>
  <c r="Q328" i="2"/>
  <c r="P328" i="2"/>
  <c r="O328" i="2"/>
  <c r="N328" i="2"/>
  <c r="W328" i="2" s="1"/>
  <c r="AH328" i="2" s="1"/>
  <c r="AG327" i="2"/>
  <c r="AF327" i="2"/>
  <c r="AE327" i="2"/>
  <c r="Z327" i="2"/>
  <c r="Y327" i="2"/>
  <c r="X327" i="2"/>
  <c r="V327" i="2"/>
  <c r="U327" i="2"/>
  <c r="T327" i="2"/>
  <c r="S327" i="2"/>
  <c r="R327" i="2"/>
  <c r="W327" i="2" s="1"/>
  <c r="Q327" i="2"/>
  <c r="P327" i="2"/>
  <c r="O327" i="2"/>
  <c r="N327" i="2"/>
  <c r="AF326" i="2"/>
  <c r="AG326" i="2" s="1"/>
  <c r="AE326" i="2"/>
  <c r="Z326" i="2"/>
  <c r="Y326" i="2"/>
  <c r="X326" i="2"/>
  <c r="V326" i="2"/>
  <c r="U326" i="2"/>
  <c r="T326" i="2"/>
  <c r="S326" i="2"/>
  <c r="R326" i="2"/>
  <c r="Q326" i="2"/>
  <c r="P326" i="2"/>
  <c r="O326" i="2"/>
  <c r="N326" i="2"/>
  <c r="W326" i="2" s="1"/>
  <c r="AH326" i="2" s="1"/>
  <c r="AF325" i="2"/>
  <c r="AE325" i="2"/>
  <c r="Z325" i="2"/>
  <c r="Y325" i="2"/>
  <c r="X325" i="2"/>
  <c r="V325" i="2"/>
  <c r="U325" i="2"/>
  <c r="T325" i="2"/>
  <c r="S325" i="2"/>
  <c r="R325" i="2"/>
  <c r="Q325" i="2"/>
  <c r="P325" i="2"/>
  <c r="O325" i="2"/>
  <c r="N325" i="2"/>
  <c r="AF324" i="2"/>
  <c r="AE324" i="2"/>
  <c r="AG324" i="2" s="1"/>
  <c r="Z324" i="2"/>
  <c r="Y324" i="2"/>
  <c r="X324" i="2"/>
  <c r="V324" i="2"/>
  <c r="U324" i="2"/>
  <c r="T324" i="2"/>
  <c r="S324" i="2"/>
  <c r="R324" i="2"/>
  <c r="Q324" i="2"/>
  <c r="P324" i="2"/>
  <c r="O324" i="2"/>
  <c r="N324" i="2"/>
  <c r="AF323" i="2"/>
  <c r="AE323" i="2"/>
  <c r="Z323" i="2"/>
  <c r="Y323" i="2"/>
  <c r="X323" i="2"/>
  <c r="V323" i="2"/>
  <c r="U323" i="2"/>
  <c r="T323" i="2"/>
  <c r="S323" i="2"/>
  <c r="R323" i="2"/>
  <c r="Q323" i="2"/>
  <c r="W323" i="2" s="1"/>
  <c r="P323" i="2"/>
  <c r="O323" i="2"/>
  <c r="N323" i="2"/>
  <c r="AF322" i="2"/>
  <c r="AE322" i="2"/>
  <c r="Z322" i="2"/>
  <c r="Y322" i="2"/>
  <c r="X322" i="2"/>
  <c r="V322" i="2"/>
  <c r="U322" i="2"/>
  <c r="T322" i="2"/>
  <c r="S322" i="2"/>
  <c r="W322" i="2" s="1"/>
  <c r="R322" i="2"/>
  <c r="Q322" i="2"/>
  <c r="P322" i="2"/>
  <c r="O322" i="2"/>
  <c r="N322" i="2"/>
  <c r="AF321" i="2"/>
  <c r="AE321" i="2"/>
  <c r="AG321" i="2" s="1"/>
  <c r="Z321" i="2"/>
  <c r="Y321" i="2"/>
  <c r="X321" i="2"/>
  <c r="V321" i="2"/>
  <c r="U321" i="2"/>
  <c r="T321" i="2"/>
  <c r="S321" i="2"/>
  <c r="R321" i="2"/>
  <c r="Q321" i="2"/>
  <c r="P321" i="2"/>
  <c r="O321" i="2"/>
  <c r="W321" i="2" s="1"/>
  <c r="N321" i="2"/>
  <c r="AG320" i="2"/>
  <c r="AF320" i="2"/>
  <c r="AE320" i="2"/>
  <c r="Z320" i="2"/>
  <c r="Y320" i="2"/>
  <c r="X320" i="2"/>
  <c r="V320" i="2"/>
  <c r="U320" i="2"/>
  <c r="T320" i="2"/>
  <c r="S320" i="2"/>
  <c r="R320" i="2"/>
  <c r="Q320" i="2"/>
  <c r="P320" i="2"/>
  <c r="O320" i="2"/>
  <c r="N320" i="2"/>
  <c r="AF319" i="2"/>
  <c r="AE319" i="2"/>
  <c r="AG319" i="2" s="1"/>
  <c r="Z319" i="2"/>
  <c r="Y319" i="2"/>
  <c r="X319" i="2"/>
  <c r="V319" i="2"/>
  <c r="U319" i="2"/>
  <c r="T319" i="2"/>
  <c r="S319" i="2"/>
  <c r="R319" i="2"/>
  <c r="Q319" i="2"/>
  <c r="P319" i="2"/>
  <c r="O319" i="2"/>
  <c r="N319" i="2"/>
  <c r="W319" i="2" s="1"/>
  <c r="AH319" i="2" s="1"/>
  <c r="AF318" i="2"/>
  <c r="AE318" i="2"/>
  <c r="Z318" i="2"/>
  <c r="Y318" i="2"/>
  <c r="X318" i="2"/>
  <c r="V318" i="2"/>
  <c r="U318" i="2"/>
  <c r="T318" i="2"/>
  <c r="S318" i="2"/>
  <c r="R318" i="2"/>
  <c r="Q318" i="2"/>
  <c r="P318" i="2"/>
  <c r="O318" i="2"/>
  <c r="N318" i="2"/>
  <c r="AF317" i="2"/>
  <c r="AG317" i="2" s="1"/>
  <c r="AE317" i="2"/>
  <c r="Z317" i="2"/>
  <c r="Y317" i="2"/>
  <c r="X317" i="2"/>
  <c r="V317" i="2"/>
  <c r="U317" i="2"/>
  <c r="T317" i="2"/>
  <c r="S317" i="2"/>
  <c r="R317" i="2"/>
  <c r="Q317" i="2"/>
  <c r="P317" i="2"/>
  <c r="O317" i="2"/>
  <c r="N317" i="2"/>
  <c r="AF316" i="2"/>
  <c r="AE316" i="2"/>
  <c r="Z316" i="2"/>
  <c r="Y316" i="2"/>
  <c r="X316" i="2"/>
  <c r="V316" i="2"/>
  <c r="U316" i="2"/>
  <c r="W316" i="2" s="1"/>
  <c r="T316" i="2"/>
  <c r="S316" i="2"/>
  <c r="R316" i="2"/>
  <c r="Q316" i="2"/>
  <c r="P316" i="2"/>
  <c r="O316" i="2"/>
  <c r="N316" i="2"/>
  <c r="AF315" i="2"/>
  <c r="AE315" i="2"/>
  <c r="Z315" i="2"/>
  <c r="Y315" i="2"/>
  <c r="X315" i="2"/>
  <c r="V315" i="2"/>
  <c r="U315" i="2"/>
  <c r="T315" i="2"/>
  <c r="S315" i="2"/>
  <c r="R315" i="2"/>
  <c r="Q315" i="2"/>
  <c r="P315" i="2"/>
  <c r="O315" i="2"/>
  <c r="N315" i="2"/>
  <c r="AF314" i="2"/>
  <c r="AE314" i="2"/>
  <c r="AG314" i="2" s="1"/>
  <c r="Z314" i="2"/>
  <c r="Y314" i="2"/>
  <c r="X314" i="2"/>
  <c r="V314" i="2"/>
  <c r="U314" i="2"/>
  <c r="T314" i="2"/>
  <c r="S314" i="2"/>
  <c r="R314" i="2"/>
  <c r="Q314" i="2"/>
  <c r="P314" i="2"/>
  <c r="O314" i="2"/>
  <c r="W314" i="2" s="1"/>
  <c r="N314" i="2"/>
  <c r="AF313" i="2"/>
  <c r="AE313" i="2"/>
  <c r="AG313" i="2" s="1"/>
  <c r="Z313" i="2"/>
  <c r="Y313" i="2"/>
  <c r="X313" i="2"/>
  <c r="V313" i="2"/>
  <c r="U313" i="2"/>
  <c r="T313" i="2"/>
  <c r="S313" i="2"/>
  <c r="R313" i="2"/>
  <c r="Q313" i="2"/>
  <c r="P313" i="2"/>
  <c r="O313" i="2"/>
  <c r="N313" i="2"/>
  <c r="AF312" i="2"/>
  <c r="AE312" i="2"/>
  <c r="Z312" i="2"/>
  <c r="Y312" i="2"/>
  <c r="X312" i="2"/>
  <c r="V312" i="2"/>
  <c r="U312" i="2"/>
  <c r="T312" i="2"/>
  <c r="S312" i="2"/>
  <c r="R312" i="2"/>
  <c r="Q312" i="2"/>
  <c r="P312" i="2"/>
  <c r="O312" i="2"/>
  <c r="W312" i="2" s="1"/>
  <c r="N312" i="2"/>
  <c r="AF311" i="2"/>
  <c r="AG311" i="2" s="1"/>
  <c r="AE311" i="2"/>
  <c r="Z311" i="2"/>
  <c r="Y311" i="2"/>
  <c r="X311" i="2"/>
  <c r="V311" i="2"/>
  <c r="U311" i="2"/>
  <c r="T311" i="2"/>
  <c r="S311" i="2"/>
  <c r="R311" i="2"/>
  <c r="Q311" i="2"/>
  <c r="P311" i="2"/>
  <c r="O311" i="2"/>
  <c r="W311" i="2" s="1"/>
  <c r="AH311" i="2" s="1"/>
  <c r="N311" i="2"/>
  <c r="AF310" i="2"/>
  <c r="AE310" i="2"/>
  <c r="Z310" i="2"/>
  <c r="Y310" i="2"/>
  <c r="X310" i="2"/>
  <c r="V310" i="2"/>
  <c r="U310" i="2"/>
  <c r="T310" i="2"/>
  <c r="S310" i="2"/>
  <c r="R310" i="2"/>
  <c r="Q310" i="2"/>
  <c r="P310" i="2"/>
  <c r="O310" i="2"/>
  <c r="N310" i="2"/>
  <c r="AF309" i="2"/>
  <c r="AE309" i="2"/>
  <c r="AG309" i="2" s="1"/>
  <c r="Z309" i="2"/>
  <c r="Y309" i="2"/>
  <c r="X309" i="2"/>
  <c r="V309" i="2"/>
  <c r="U309" i="2"/>
  <c r="T309" i="2"/>
  <c r="S309" i="2"/>
  <c r="R309" i="2"/>
  <c r="Q309" i="2"/>
  <c r="P309" i="2"/>
  <c r="W309" i="2" s="1"/>
  <c r="O309" i="2"/>
  <c r="N309" i="2"/>
  <c r="AF308" i="2"/>
  <c r="AE308" i="2"/>
  <c r="Z308" i="2"/>
  <c r="Y308" i="2"/>
  <c r="X308" i="2"/>
  <c r="V308" i="2"/>
  <c r="U308" i="2"/>
  <c r="T308" i="2"/>
  <c r="S308" i="2"/>
  <c r="R308" i="2"/>
  <c r="Q308" i="2"/>
  <c r="P308" i="2"/>
  <c r="O308" i="2"/>
  <c r="N308" i="2"/>
  <c r="W308" i="2" s="1"/>
  <c r="AF307" i="2"/>
  <c r="AE307" i="2"/>
  <c r="AG307" i="2" s="1"/>
  <c r="Z307" i="2"/>
  <c r="Y307" i="2"/>
  <c r="X307" i="2"/>
  <c r="V307" i="2"/>
  <c r="U307" i="2"/>
  <c r="T307" i="2"/>
  <c r="S307" i="2"/>
  <c r="R307" i="2"/>
  <c r="Q307" i="2"/>
  <c r="W307" i="2" s="1"/>
  <c r="P307" i="2"/>
  <c r="O307" i="2"/>
  <c r="N307" i="2"/>
  <c r="AF306" i="2"/>
  <c r="AE306" i="2"/>
  <c r="AG306" i="2" s="1"/>
  <c r="Z306" i="2"/>
  <c r="Y306" i="2"/>
  <c r="X306" i="2"/>
  <c r="V306" i="2"/>
  <c r="U306" i="2"/>
  <c r="T306" i="2"/>
  <c r="S306" i="2"/>
  <c r="W306" i="2" s="1"/>
  <c r="AH306" i="2" s="1"/>
  <c r="R306" i="2"/>
  <c r="Q306" i="2"/>
  <c r="P306" i="2"/>
  <c r="O306" i="2"/>
  <c r="N306" i="2"/>
  <c r="AF305" i="2"/>
  <c r="AE305" i="2"/>
  <c r="Z305" i="2"/>
  <c r="Y305" i="2"/>
  <c r="X305" i="2"/>
  <c r="V305" i="2"/>
  <c r="U305" i="2"/>
  <c r="T305" i="2"/>
  <c r="S305" i="2"/>
  <c r="R305" i="2"/>
  <c r="Q305" i="2"/>
  <c r="P305" i="2"/>
  <c r="O305" i="2"/>
  <c r="W305" i="2" s="1"/>
  <c r="N305" i="2"/>
  <c r="AF304" i="2"/>
  <c r="AE304" i="2"/>
  <c r="Z304" i="2"/>
  <c r="Y304" i="2"/>
  <c r="X304" i="2"/>
  <c r="V304" i="2"/>
  <c r="U304" i="2"/>
  <c r="T304" i="2"/>
  <c r="S304" i="2"/>
  <c r="R304" i="2"/>
  <c r="Q304" i="2"/>
  <c r="P304" i="2"/>
  <c r="O304" i="2"/>
  <c r="N304" i="2"/>
  <c r="AF303" i="2"/>
  <c r="AE303" i="2"/>
  <c r="AG303" i="2" s="1"/>
  <c r="Z303" i="2"/>
  <c r="Y303" i="2"/>
  <c r="X303" i="2"/>
  <c r="V303" i="2"/>
  <c r="U303" i="2"/>
  <c r="T303" i="2"/>
  <c r="S303" i="2"/>
  <c r="R303" i="2"/>
  <c r="Q303" i="2"/>
  <c r="P303" i="2"/>
  <c r="O303" i="2"/>
  <c r="N303" i="2"/>
  <c r="W303" i="2" s="1"/>
  <c r="AF302" i="2"/>
  <c r="AE302" i="2"/>
  <c r="Z302" i="2"/>
  <c r="Y302" i="2"/>
  <c r="X302" i="2"/>
  <c r="V302" i="2"/>
  <c r="U302" i="2"/>
  <c r="T302" i="2"/>
  <c r="S302" i="2"/>
  <c r="R302" i="2"/>
  <c r="Q302" i="2"/>
  <c r="P302" i="2"/>
  <c r="W302" i="2" s="1"/>
  <c r="O302" i="2"/>
  <c r="N302" i="2"/>
  <c r="AF301" i="2"/>
  <c r="AE301" i="2"/>
  <c r="AG301" i="2" s="1"/>
  <c r="Z301" i="2"/>
  <c r="Y301" i="2"/>
  <c r="X301" i="2"/>
  <c r="V301" i="2"/>
  <c r="U301" i="2"/>
  <c r="T301" i="2"/>
  <c r="S301" i="2"/>
  <c r="R301" i="2"/>
  <c r="Q301" i="2"/>
  <c r="W301" i="2" s="1"/>
  <c r="AH301" i="2" s="1"/>
  <c r="P301" i="2"/>
  <c r="O301" i="2"/>
  <c r="N301" i="2"/>
  <c r="AF300" i="2"/>
  <c r="AE300" i="2"/>
  <c r="AG300" i="2" s="1"/>
  <c r="Z300" i="2"/>
  <c r="Y300" i="2"/>
  <c r="X300" i="2"/>
  <c r="V300" i="2"/>
  <c r="U300" i="2"/>
  <c r="T300" i="2"/>
  <c r="S300" i="2"/>
  <c r="R300" i="2"/>
  <c r="Q300" i="2"/>
  <c r="P300" i="2"/>
  <c r="O300" i="2"/>
  <c r="N300" i="2"/>
  <c r="W300" i="2" s="1"/>
  <c r="AF299" i="2"/>
  <c r="AE299" i="2"/>
  <c r="AG299" i="2" s="1"/>
  <c r="AH299" i="2" s="1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AF298" i="2"/>
  <c r="AE298" i="2"/>
  <c r="AG298" i="2" s="1"/>
  <c r="Z298" i="2"/>
  <c r="Y298" i="2"/>
  <c r="X298" i="2"/>
  <c r="V298" i="2"/>
  <c r="U298" i="2"/>
  <c r="T298" i="2"/>
  <c r="S298" i="2"/>
  <c r="R298" i="2"/>
  <c r="Q298" i="2"/>
  <c r="P298" i="2"/>
  <c r="O298" i="2"/>
  <c r="N298" i="2"/>
  <c r="W298" i="2" s="1"/>
  <c r="AF297" i="2"/>
  <c r="AE297" i="2"/>
  <c r="Z297" i="2"/>
  <c r="Y297" i="2"/>
  <c r="X297" i="2"/>
  <c r="V297" i="2"/>
  <c r="U297" i="2"/>
  <c r="T297" i="2"/>
  <c r="S297" i="2"/>
  <c r="R297" i="2"/>
  <c r="Q297" i="2"/>
  <c r="P297" i="2"/>
  <c r="O297" i="2"/>
  <c r="N297" i="2"/>
  <c r="AF296" i="2"/>
  <c r="AE296" i="2"/>
  <c r="AG296" i="2" s="1"/>
  <c r="Z296" i="2"/>
  <c r="Y296" i="2"/>
  <c r="X296" i="2"/>
  <c r="V296" i="2"/>
  <c r="U296" i="2"/>
  <c r="T296" i="2"/>
  <c r="S296" i="2"/>
  <c r="R296" i="2"/>
  <c r="Q296" i="2"/>
  <c r="P296" i="2"/>
  <c r="O296" i="2"/>
  <c r="N296" i="2"/>
  <c r="AF295" i="2"/>
  <c r="AG295" i="2" s="1"/>
  <c r="AE295" i="2"/>
  <c r="Z295" i="2"/>
  <c r="Y295" i="2"/>
  <c r="X295" i="2"/>
  <c r="V295" i="2"/>
  <c r="U295" i="2"/>
  <c r="T295" i="2"/>
  <c r="S295" i="2"/>
  <c r="R295" i="2"/>
  <c r="Q295" i="2"/>
  <c r="W295" i="2" s="1"/>
  <c r="AH295" i="2" s="1"/>
  <c r="P295" i="2"/>
  <c r="O295" i="2"/>
  <c r="N295" i="2"/>
  <c r="AF294" i="2"/>
  <c r="AE294" i="2"/>
  <c r="Z294" i="2"/>
  <c r="Y294" i="2"/>
  <c r="X294" i="2"/>
  <c r="V294" i="2"/>
  <c r="U294" i="2"/>
  <c r="T294" i="2"/>
  <c r="S294" i="2"/>
  <c r="W294" i="2" s="1"/>
  <c r="R294" i="2"/>
  <c r="Q294" i="2"/>
  <c r="P294" i="2"/>
  <c r="O294" i="2"/>
  <c r="N294" i="2"/>
  <c r="AG293" i="2"/>
  <c r="AF293" i="2"/>
  <c r="AE293" i="2"/>
  <c r="Z293" i="2"/>
  <c r="Y293" i="2"/>
  <c r="X293" i="2"/>
  <c r="V293" i="2"/>
  <c r="U293" i="2"/>
  <c r="T293" i="2"/>
  <c r="S293" i="2"/>
  <c r="R293" i="2"/>
  <c r="Q293" i="2"/>
  <c r="P293" i="2"/>
  <c r="O293" i="2"/>
  <c r="W293" i="2" s="1"/>
  <c r="AH293" i="2" s="1"/>
  <c r="N293" i="2"/>
  <c r="AF292" i="2"/>
  <c r="AE292" i="2"/>
  <c r="AG292" i="2" s="1"/>
  <c r="Z292" i="2"/>
  <c r="Y292" i="2"/>
  <c r="X292" i="2"/>
  <c r="V292" i="2"/>
  <c r="U292" i="2"/>
  <c r="T292" i="2"/>
  <c r="S292" i="2"/>
  <c r="R292" i="2"/>
  <c r="Q292" i="2"/>
  <c r="P292" i="2"/>
  <c r="O292" i="2"/>
  <c r="N292" i="2"/>
  <c r="AF291" i="2"/>
  <c r="AE291" i="2"/>
  <c r="Z291" i="2"/>
  <c r="Y291" i="2"/>
  <c r="X291" i="2"/>
  <c r="V291" i="2"/>
  <c r="U291" i="2"/>
  <c r="T291" i="2"/>
  <c r="S291" i="2"/>
  <c r="R291" i="2"/>
  <c r="Q291" i="2"/>
  <c r="P291" i="2"/>
  <c r="O291" i="2"/>
  <c r="W291" i="2" s="1"/>
  <c r="N291" i="2"/>
  <c r="AF290" i="2"/>
  <c r="AE290" i="2"/>
  <c r="Z290" i="2"/>
  <c r="Y290" i="2"/>
  <c r="X290" i="2"/>
  <c r="V290" i="2"/>
  <c r="U290" i="2"/>
  <c r="T290" i="2"/>
  <c r="S290" i="2"/>
  <c r="R290" i="2"/>
  <c r="Q290" i="2"/>
  <c r="P290" i="2"/>
  <c r="O290" i="2"/>
  <c r="N290" i="2"/>
  <c r="AF289" i="2"/>
  <c r="AE289" i="2"/>
  <c r="AG289" i="2" s="1"/>
  <c r="Z289" i="2"/>
  <c r="Y289" i="2"/>
  <c r="X289" i="2"/>
  <c r="V289" i="2"/>
  <c r="U289" i="2"/>
  <c r="T289" i="2"/>
  <c r="S289" i="2"/>
  <c r="R289" i="2"/>
  <c r="Q289" i="2"/>
  <c r="P289" i="2"/>
  <c r="O289" i="2"/>
  <c r="N289" i="2"/>
  <c r="AF288" i="2"/>
  <c r="AG288" i="2" s="1"/>
  <c r="AE288" i="2"/>
  <c r="Z288" i="2"/>
  <c r="Y288" i="2"/>
  <c r="X288" i="2"/>
  <c r="V288" i="2"/>
  <c r="U288" i="2"/>
  <c r="T288" i="2"/>
  <c r="S288" i="2"/>
  <c r="R288" i="2"/>
  <c r="Q288" i="2"/>
  <c r="P288" i="2"/>
  <c r="O288" i="2"/>
  <c r="N288" i="2"/>
  <c r="W288" i="2" s="1"/>
  <c r="AF287" i="2"/>
  <c r="AE287" i="2"/>
  <c r="Z287" i="2"/>
  <c r="Y287" i="2"/>
  <c r="X287" i="2"/>
  <c r="V287" i="2"/>
  <c r="U287" i="2"/>
  <c r="T287" i="2"/>
  <c r="S287" i="2"/>
  <c r="R287" i="2"/>
  <c r="Q287" i="2"/>
  <c r="P287" i="2"/>
  <c r="O287" i="2"/>
  <c r="N287" i="2"/>
  <c r="AF286" i="2"/>
  <c r="AG286" i="2" s="1"/>
  <c r="AE286" i="2"/>
  <c r="Z286" i="2"/>
  <c r="Y286" i="2"/>
  <c r="X286" i="2"/>
  <c r="V286" i="2"/>
  <c r="U286" i="2"/>
  <c r="T286" i="2"/>
  <c r="S286" i="2"/>
  <c r="R286" i="2"/>
  <c r="Q286" i="2"/>
  <c r="P286" i="2"/>
  <c r="O286" i="2"/>
  <c r="W286" i="2" s="1"/>
  <c r="N286" i="2"/>
  <c r="AF285" i="2"/>
  <c r="AE285" i="2"/>
  <c r="AG285" i="2" s="1"/>
  <c r="Z285" i="2"/>
  <c r="Y285" i="2"/>
  <c r="X285" i="2"/>
  <c r="V285" i="2"/>
  <c r="U285" i="2"/>
  <c r="T285" i="2"/>
  <c r="S285" i="2"/>
  <c r="R285" i="2"/>
  <c r="Q285" i="2"/>
  <c r="P285" i="2"/>
  <c r="O285" i="2"/>
  <c r="N285" i="2"/>
  <c r="AG284" i="2"/>
  <c r="AF284" i="2"/>
  <c r="AE284" i="2"/>
  <c r="Z284" i="2"/>
  <c r="Y284" i="2"/>
  <c r="X284" i="2"/>
  <c r="V284" i="2"/>
  <c r="U284" i="2"/>
  <c r="T284" i="2"/>
  <c r="S284" i="2"/>
  <c r="R284" i="2"/>
  <c r="Q284" i="2"/>
  <c r="P284" i="2"/>
  <c r="O284" i="2"/>
  <c r="N284" i="2"/>
  <c r="W284" i="2" s="1"/>
  <c r="AF283" i="2"/>
  <c r="AE283" i="2"/>
  <c r="Z283" i="2"/>
  <c r="Y283" i="2"/>
  <c r="X283" i="2"/>
  <c r="V283" i="2"/>
  <c r="U283" i="2"/>
  <c r="T283" i="2"/>
  <c r="S283" i="2"/>
  <c r="R283" i="2"/>
  <c r="Q283" i="2"/>
  <c r="P283" i="2"/>
  <c r="O283" i="2"/>
  <c r="N283" i="2"/>
  <c r="W283" i="2" s="1"/>
  <c r="AF282" i="2"/>
  <c r="AE282" i="2"/>
  <c r="AG282" i="2" s="1"/>
  <c r="Z282" i="2"/>
  <c r="Y282" i="2"/>
  <c r="X282" i="2"/>
  <c r="V282" i="2"/>
  <c r="U282" i="2"/>
  <c r="T282" i="2"/>
  <c r="S282" i="2"/>
  <c r="R282" i="2"/>
  <c r="Q282" i="2"/>
  <c r="P282" i="2"/>
  <c r="O282" i="2"/>
  <c r="N282" i="2"/>
  <c r="AF281" i="2"/>
  <c r="AG281" i="2" s="1"/>
  <c r="AE281" i="2"/>
  <c r="Z281" i="2"/>
  <c r="Y281" i="2"/>
  <c r="X281" i="2"/>
  <c r="V281" i="2"/>
  <c r="U281" i="2"/>
  <c r="T281" i="2"/>
  <c r="S281" i="2"/>
  <c r="R281" i="2"/>
  <c r="Q281" i="2"/>
  <c r="P281" i="2"/>
  <c r="W281" i="2" s="1"/>
  <c r="AH281" i="2" s="1"/>
  <c r="O281" i="2"/>
  <c r="N281" i="2"/>
  <c r="AF280" i="2"/>
  <c r="AE280" i="2"/>
  <c r="Z280" i="2"/>
  <c r="Y280" i="2"/>
  <c r="X280" i="2"/>
  <c r="V280" i="2"/>
  <c r="U280" i="2"/>
  <c r="T280" i="2"/>
  <c r="S280" i="2"/>
  <c r="R280" i="2"/>
  <c r="Q280" i="2"/>
  <c r="W280" i="2" s="1"/>
  <c r="P280" i="2"/>
  <c r="O280" i="2"/>
  <c r="N280" i="2"/>
  <c r="AF279" i="2"/>
  <c r="AE279" i="2"/>
  <c r="AG279" i="2" s="1"/>
  <c r="Z279" i="2"/>
  <c r="Y279" i="2"/>
  <c r="X279" i="2"/>
  <c r="V279" i="2"/>
  <c r="U279" i="2"/>
  <c r="T279" i="2"/>
  <c r="S279" i="2"/>
  <c r="R279" i="2"/>
  <c r="Q279" i="2"/>
  <c r="P279" i="2"/>
  <c r="W279" i="2" s="1"/>
  <c r="O279" i="2"/>
  <c r="N279" i="2"/>
  <c r="AF278" i="2"/>
  <c r="AE278" i="2"/>
  <c r="Z278" i="2"/>
  <c r="Y278" i="2"/>
  <c r="X278" i="2"/>
  <c r="V278" i="2"/>
  <c r="W278" i="2" s="1"/>
  <c r="U278" i="2"/>
  <c r="T278" i="2"/>
  <c r="S278" i="2"/>
  <c r="R278" i="2"/>
  <c r="Q278" i="2"/>
  <c r="P278" i="2"/>
  <c r="O278" i="2"/>
  <c r="N278" i="2"/>
  <c r="AG277" i="2"/>
  <c r="AF277" i="2"/>
  <c r="AE277" i="2"/>
  <c r="Z277" i="2"/>
  <c r="Y277" i="2"/>
  <c r="X277" i="2"/>
  <c r="V277" i="2"/>
  <c r="U277" i="2"/>
  <c r="T277" i="2"/>
  <c r="S277" i="2"/>
  <c r="R277" i="2"/>
  <c r="Q277" i="2"/>
  <c r="P277" i="2"/>
  <c r="O277" i="2"/>
  <c r="N277" i="2"/>
  <c r="W277" i="2" s="1"/>
  <c r="AF276" i="2"/>
  <c r="AE276" i="2"/>
  <c r="Z276" i="2"/>
  <c r="Y276" i="2"/>
  <c r="X276" i="2"/>
  <c r="V276" i="2"/>
  <c r="U276" i="2"/>
  <c r="T276" i="2"/>
  <c r="S276" i="2"/>
  <c r="R276" i="2"/>
  <c r="Q276" i="2"/>
  <c r="P276" i="2"/>
  <c r="O276" i="2"/>
  <c r="N276" i="2"/>
  <c r="AF275" i="2"/>
  <c r="AG275" i="2" s="1"/>
  <c r="AE275" i="2"/>
  <c r="Z275" i="2"/>
  <c r="Y275" i="2"/>
  <c r="X275" i="2"/>
  <c r="V275" i="2"/>
  <c r="U275" i="2"/>
  <c r="T275" i="2"/>
  <c r="S275" i="2"/>
  <c r="R275" i="2"/>
  <c r="Q275" i="2"/>
  <c r="P275" i="2"/>
  <c r="O275" i="2"/>
  <c r="W275" i="2" s="1"/>
  <c r="N275" i="2"/>
  <c r="AF274" i="2"/>
  <c r="AE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AF273" i="2"/>
  <c r="AE273" i="2"/>
  <c r="Z273" i="2"/>
  <c r="Y273" i="2"/>
  <c r="X273" i="2"/>
  <c r="V273" i="2"/>
  <c r="U273" i="2"/>
  <c r="T273" i="2"/>
  <c r="W273" i="2" s="1"/>
  <c r="S273" i="2"/>
  <c r="R273" i="2"/>
  <c r="Q273" i="2"/>
  <c r="P273" i="2"/>
  <c r="O273" i="2"/>
  <c r="N273" i="2"/>
  <c r="AF272" i="2"/>
  <c r="AE272" i="2"/>
  <c r="AG272" i="2" s="1"/>
  <c r="Z272" i="2"/>
  <c r="Y272" i="2"/>
  <c r="X272" i="2"/>
  <c r="V272" i="2"/>
  <c r="U272" i="2"/>
  <c r="T272" i="2"/>
  <c r="S272" i="2"/>
  <c r="R272" i="2"/>
  <c r="Q272" i="2"/>
  <c r="P272" i="2"/>
  <c r="O272" i="2"/>
  <c r="N272" i="2"/>
  <c r="W272" i="2" s="1"/>
  <c r="AF271" i="2"/>
  <c r="AE271" i="2"/>
  <c r="AG271" i="2" s="1"/>
  <c r="Z271" i="2"/>
  <c r="Y271" i="2"/>
  <c r="X271" i="2"/>
  <c r="V271" i="2"/>
  <c r="U271" i="2"/>
  <c r="T271" i="2"/>
  <c r="S271" i="2"/>
  <c r="R271" i="2"/>
  <c r="W271" i="2" s="1"/>
  <c r="Q271" i="2"/>
  <c r="P271" i="2"/>
  <c r="O271" i="2"/>
  <c r="N271" i="2"/>
  <c r="AF270" i="2"/>
  <c r="AE270" i="2"/>
  <c r="Z270" i="2"/>
  <c r="Y270" i="2"/>
  <c r="X270" i="2"/>
  <c r="V270" i="2"/>
  <c r="U270" i="2"/>
  <c r="T270" i="2"/>
  <c r="S270" i="2"/>
  <c r="R270" i="2"/>
  <c r="Q270" i="2"/>
  <c r="P270" i="2"/>
  <c r="O270" i="2"/>
  <c r="W270" i="2" s="1"/>
  <c r="N270" i="2"/>
  <c r="AF269" i="2"/>
  <c r="AE269" i="2"/>
  <c r="AG269" i="2" s="1"/>
  <c r="Z269" i="2"/>
  <c r="Y269" i="2"/>
  <c r="X269" i="2"/>
  <c r="V269" i="2"/>
  <c r="U269" i="2"/>
  <c r="T269" i="2"/>
  <c r="S269" i="2"/>
  <c r="R269" i="2"/>
  <c r="Q269" i="2"/>
  <c r="P269" i="2"/>
  <c r="O269" i="2"/>
  <c r="N269" i="2"/>
  <c r="W269" i="2" s="1"/>
  <c r="AF268" i="2"/>
  <c r="AE268" i="2"/>
  <c r="AG268" i="2" s="1"/>
  <c r="Z268" i="2"/>
  <c r="Y268" i="2"/>
  <c r="X268" i="2"/>
  <c r="V268" i="2"/>
  <c r="U268" i="2"/>
  <c r="T268" i="2"/>
  <c r="S268" i="2"/>
  <c r="R268" i="2"/>
  <c r="Q268" i="2"/>
  <c r="P268" i="2"/>
  <c r="O268" i="2"/>
  <c r="N268" i="2"/>
  <c r="AF267" i="2"/>
  <c r="AE267" i="2"/>
  <c r="Z267" i="2"/>
  <c r="Y267" i="2"/>
  <c r="X267" i="2"/>
  <c r="V267" i="2"/>
  <c r="U267" i="2"/>
  <c r="T267" i="2"/>
  <c r="S267" i="2"/>
  <c r="R267" i="2"/>
  <c r="Q267" i="2"/>
  <c r="P267" i="2"/>
  <c r="O267" i="2"/>
  <c r="N267" i="2"/>
  <c r="W267" i="2" s="1"/>
  <c r="AF266" i="2"/>
  <c r="AE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AF265" i="2"/>
  <c r="AE265" i="2"/>
  <c r="AG265" i="2" s="1"/>
  <c r="Z265" i="2"/>
  <c r="Y265" i="2"/>
  <c r="X265" i="2"/>
  <c r="V265" i="2"/>
  <c r="U265" i="2"/>
  <c r="T265" i="2"/>
  <c r="S265" i="2"/>
  <c r="R265" i="2"/>
  <c r="Q265" i="2"/>
  <c r="P265" i="2"/>
  <c r="W265" i="2" s="1"/>
  <c r="O265" i="2"/>
  <c r="N265" i="2"/>
  <c r="AG264" i="2"/>
  <c r="AF264" i="2"/>
  <c r="AE264" i="2"/>
  <c r="Z264" i="2"/>
  <c r="Y264" i="2"/>
  <c r="X264" i="2"/>
  <c r="V264" i="2"/>
  <c r="U264" i="2"/>
  <c r="T264" i="2"/>
  <c r="S264" i="2"/>
  <c r="R264" i="2"/>
  <c r="Q264" i="2"/>
  <c r="P264" i="2"/>
  <c r="O264" i="2"/>
  <c r="N264" i="2"/>
  <c r="AF263" i="2"/>
  <c r="AE263" i="2"/>
  <c r="Z263" i="2"/>
  <c r="Y263" i="2"/>
  <c r="X263" i="2"/>
  <c r="V263" i="2"/>
  <c r="U263" i="2"/>
  <c r="T263" i="2"/>
  <c r="S263" i="2"/>
  <c r="R263" i="2"/>
  <c r="Q263" i="2"/>
  <c r="P263" i="2"/>
  <c r="O263" i="2"/>
  <c r="N263" i="2"/>
  <c r="W263" i="2" s="1"/>
  <c r="AF262" i="2"/>
  <c r="AE262" i="2"/>
  <c r="Z262" i="2"/>
  <c r="Y262" i="2"/>
  <c r="X262" i="2"/>
  <c r="V262" i="2"/>
  <c r="U262" i="2"/>
  <c r="T262" i="2"/>
  <c r="S262" i="2"/>
  <c r="R262" i="2"/>
  <c r="Q262" i="2"/>
  <c r="P262" i="2"/>
  <c r="O262" i="2"/>
  <c r="N262" i="2"/>
  <c r="W262" i="2" s="1"/>
  <c r="AF261" i="2"/>
  <c r="AE261" i="2"/>
  <c r="AG261" i="2" s="1"/>
  <c r="Z261" i="2"/>
  <c r="Y261" i="2"/>
  <c r="X261" i="2"/>
  <c r="V261" i="2"/>
  <c r="U261" i="2"/>
  <c r="T261" i="2"/>
  <c r="S261" i="2"/>
  <c r="R261" i="2"/>
  <c r="Q261" i="2"/>
  <c r="P261" i="2"/>
  <c r="O261" i="2"/>
  <c r="N261" i="2"/>
  <c r="AF260" i="2"/>
  <c r="AE260" i="2"/>
  <c r="Z260" i="2"/>
  <c r="Y260" i="2"/>
  <c r="X260" i="2"/>
  <c r="V260" i="2"/>
  <c r="U260" i="2"/>
  <c r="T260" i="2"/>
  <c r="S260" i="2"/>
  <c r="R260" i="2"/>
  <c r="Q260" i="2"/>
  <c r="P260" i="2"/>
  <c r="W260" i="2" s="1"/>
  <c r="O260" i="2"/>
  <c r="N260" i="2"/>
  <c r="AF259" i="2"/>
  <c r="AE259" i="2"/>
  <c r="Z259" i="2"/>
  <c r="Y259" i="2"/>
  <c r="X259" i="2"/>
  <c r="V259" i="2"/>
  <c r="U259" i="2"/>
  <c r="T259" i="2"/>
  <c r="S259" i="2"/>
  <c r="R259" i="2"/>
  <c r="Q259" i="2"/>
  <c r="P259" i="2"/>
  <c r="O259" i="2"/>
  <c r="N259" i="2"/>
  <c r="AF258" i="2"/>
  <c r="AE258" i="2"/>
  <c r="AG258" i="2" s="1"/>
  <c r="Z258" i="2"/>
  <c r="Y258" i="2"/>
  <c r="X258" i="2"/>
  <c r="V258" i="2"/>
  <c r="U258" i="2"/>
  <c r="T258" i="2"/>
  <c r="S258" i="2"/>
  <c r="R258" i="2"/>
  <c r="Q258" i="2"/>
  <c r="P258" i="2"/>
  <c r="O258" i="2"/>
  <c r="W258" i="2" s="1"/>
  <c r="AH258" i="2" s="1"/>
  <c r="N258" i="2"/>
  <c r="AF257" i="2"/>
  <c r="AE257" i="2"/>
  <c r="AG257" i="2" s="1"/>
  <c r="Z257" i="2"/>
  <c r="Y257" i="2"/>
  <c r="X257" i="2"/>
  <c r="V257" i="2"/>
  <c r="U257" i="2"/>
  <c r="T257" i="2"/>
  <c r="S257" i="2"/>
  <c r="R257" i="2"/>
  <c r="Q257" i="2"/>
  <c r="P257" i="2"/>
  <c r="O257" i="2"/>
  <c r="W257" i="2" s="1"/>
  <c r="N257" i="2"/>
  <c r="AF256" i="2"/>
  <c r="AE256" i="2"/>
  <c r="Z256" i="2"/>
  <c r="Y256" i="2"/>
  <c r="X256" i="2"/>
  <c r="V256" i="2"/>
  <c r="U256" i="2"/>
  <c r="T256" i="2"/>
  <c r="S256" i="2"/>
  <c r="R256" i="2"/>
  <c r="Q256" i="2"/>
  <c r="P256" i="2"/>
  <c r="O256" i="2"/>
  <c r="N256" i="2"/>
  <c r="W256" i="2" s="1"/>
  <c r="AF255" i="2"/>
  <c r="AE255" i="2"/>
  <c r="AG255" i="2" s="1"/>
  <c r="Z255" i="2"/>
  <c r="Y255" i="2"/>
  <c r="X255" i="2"/>
  <c r="V255" i="2"/>
  <c r="U255" i="2"/>
  <c r="T255" i="2"/>
  <c r="S255" i="2"/>
  <c r="R255" i="2"/>
  <c r="Q255" i="2"/>
  <c r="P255" i="2"/>
  <c r="O255" i="2"/>
  <c r="N255" i="2"/>
  <c r="W255" i="2" s="1"/>
  <c r="AG254" i="2"/>
  <c r="AF254" i="2"/>
  <c r="AE254" i="2"/>
  <c r="Z254" i="2"/>
  <c r="Y254" i="2"/>
  <c r="X254" i="2"/>
  <c r="V254" i="2"/>
  <c r="U254" i="2"/>
  <c r="T254" i="2"/>
  <c r="S254" i="2"/>
  <c r="R254" i="2"/>
  <c r="Q254" i="2"/>
  <c r="P254" i="2"/>
  <c r="O254" i="2"/>
  <c r="N254" i="2"/>
  <c r="AF253" i="2"/>
  <c r="AE253" i="2"/>
  <c r="AG253" i="2" s="1"/>
  <c r="Z253" i="2"/>
  <c r="Y253" i="2"/>
  <c r="X253" i="2"/>
  <c r="V253" i="2"/>
  <c r="U253" i="2"/>
  <c r="T253" i="2"/>
  <c r="S253" i="2"/>
  <c r="R253" i="2"/>
  <c r="Q253" i="2"/>
  <c r="P253" i="2"/>
  <c r="W253" i="2" s="1"/>
  <c r="O253" i="2"/>
  <c r="N253" i="2"/>
  <c r="AF252" i="2"/>
  <c r="AE252" i="2"/>
  <c r="Z252" i="2"/>
  <c r="Y252" i="2"/>
  <c r="X252" i="2"/>
  <c r="V252" i="2"/>
  <c r="U252" i="2"/>
  <c r="T252" i="2"/>
  <c r="W252" i="2" s="1"/>
  <c r="S252" i="2"/>
  <c r="R252" i="2"/>
  <c r="Q252" i="2"/>
  <c r="P252" i="2"/>
  <c r="O252" i="2"/>
  <c r="N252" i="2"/>
  <c r="AF251" i="2"/>
  <c r="AE251" i="2"/>
  <c r="AG251" i="2" s="1"/>
  <c r="Z251" i="2"/>
  <c r="Y251" i="2"/>
  <c r="X251" i="2"/>
  <c r="V251" i="2"/>
  <c r="U251" i="2"/>
  <c r="T251" i="2"/>
  <c r="S251" i="2"/>
  <c r="R251" i="2"/>
  <c r="Q251" i="2"/>
  <c r="P251" i="2"/>
  <c r="O251" i="2"/>
  <c r="W251" i="2" s="1"/>
  <c r="N251" i="2"/>
  <c r="AF250" i="2"/>
  <c r="AE250" i="2"/>
  <c r="AG250" i="2" s="1"/>
  <c r="Z250" i="2"/>
  <c r="Y250" i="2"/>
  <c r="X250" i="2"/>
  <c r="V250" i="2"/>
  <c r="U250" i="2"/>
  <c r="T250" i="2"/>
  <c r="S250" i="2"/>
  <c r="R250" i="2"/>
  <c r="Q250" i="2"/>
  <c r="P250" i="2"/>
  <c r="O250" i="2"/>
  <c r="W250" i="2" s="1"/>
  <c r="N250" i="2"/>
  <c r="AF249" i="2"/>
  <c r="AG249" i="2" s="1"/>
  <c r="AE249" i="2"/>
  <c r="Z249" i="2"/>
  <c r="Y249" i="2"/>
  <c r="X249" i="2"/>
  <c r="V249" i="2"/>
  <c r="U249" i="2"/>
  <c r="T249" i="2"/>
  <c r="S249" i="2"/>
  <c r="R249" i="2"/>
  <c r="Q249" i="2"/>
  <c r="P249" i="2"/>
  <c r="O249" i="2"/>
  <c r="W249" i="2" s="1"/>
  <c r="N249" i="2"/>
  <c r="AF248" i="2"/>
  <c r="AE248" i="2"/>
  <c r="Z248" i="2"/>
  <c r="Y248" i="2"/>
  <c r="X248" i="2"/>
  <c r="V248" i="2"/>
  <c r="U248" i="2"/>
  <c r="T248" i="2"/>
  <c r="S248" i="2"/>
  <c r="R248" i="2"/>
  <c r="Q248" i="2"/>
  <c r="P248" i="2"/>
  <c r="O248" i="2"/>
  <c r="N248" i="2"/>
  <c r="W248" i="2" s="1"/>
  <c r="AF247" i="2"/>
  <c r="AE247" i="2"/>
  <c r="AG247" i="2" s="1"/>
  <c r="Z247" i="2"/>
  <c r="Y247" i="2"/>
  <c r="X247" i="2"/>
  <c r="V247" i="2"/>
  <c r="U247" i="2"/>
  <c r="T247" i="2"/>
  <c r="S247" i="2"/>
  <c r="R247" i="2"/>
  <c r="Q247" i="2"/>
  <c r="W247" i="2" s="1"/>
  <c r="P247" i="2"/>
  <c r="O247" i="2"/>
  <c r="N247" i="2"/>
  <c r="AF246" i="2"/>
  <c r="AE246" i="2"/>
  <c r="Z246" i="2"/>
  <c r="Y246" i="2"/>
  <c r="X246" i="2"/>
  <c r="V246" i="2"/>
  <c r="U246" i="2"/>
  <c r="T246" i="2"/>
  <c r="S246" i="2"/>
  <c r="R246" i="2"/>
  <c r="Q246" i="2"/>
  <c r="P246" i="2"/>
  <c r="O246" i="2"/>
  <c r="N246" i="2"/>
  <c r="W246" i="2" s="1"/>
  <c r="AF245" i="2"/>
  <c r="AE245" i="2"/>
  <c r="AG245" i="2" s="1"/>
  <c r="Z245" i="2"/>
  <c r="Y245" i="2"/>
  <c r="X245" i="2"/>
  <c r="V245" i="2"/>
  <c r="U245" i="2"/>
  <c r="T245" i="2"/>
  <c r="S245" i="2"/>
  <c r="R245" i="2"/>
  <c r="Q245" i="2"/>
  <c r="P245" i="2"/>
  <c r="O245" i="2"/>
  <c r="N245" i="2"/>
  <c r="W245" i="2" s="1"/>
  <c r="AH245" i="2" s="1"/>
  <c r="AF244" i="2"/>
  <c r="AE244" i="2"/>
  <c r="AG244" i="2" s="1"/>
  <c r="Z244" i="2"/>
  <c r="Y244" i="2"/>
  <c r="X244" i="2"/>
  <c r="V244" i="2"/>
  <c r="U244" i="2"/>
  <c r="T244" i="2"/>
  <c r="S244" i="2"/>
  <c r="R244" i="2"/>
  <c r="Q244" i="2"/>
  <c r="P244" i="2"/>
  <c r="O244" i="2"/>
  <c r="N244" i="2"/>
  <c r="W244" i="2" s="1"/>
  <c r="AG243" i="2"/>
  <c r="AF243" i="2"/>
  <c r="AE243" i="2"/>
  <c r="Z243" i="2"/>
  <c r="Y243" i="2"/>
  <c r="X243" i="2"/>
  <c r="V243" i="2"/>
  <c r="U243" i="2"/>
  <c r="T243" i="2"/>
  <c r="S243" i="2"/>
  <c r="R243" i="2"/>
  <c r="W243" i="2" s="1"/>
  <c r="AH243" i="2" s="1"/>
  <c r="Q243" i="2"/>
  <c r="P243" i="2"/>
  <c r="O243" i="2"/>
  <c r="N243" i="2"/>
  <c r="AG242" i="2"/>
  <c r="AF242" i="2"/>
  <c r="AE242" i="2"/>
  <c r="Z242" i="2"/>
  <c r="Y242" i="2"/>
  <c r="X242" i="2"/>
  <c r="V242" i="2"/>
  <c r="U242" i="2"/>
  <c r="T242" i="2"/>
  <c r="S242" i="2"/>
  <c r="W242" i="2" s="1"/>
  <c r="AH242" i="2" s="1"/>
  <c r="R242" i="2"/>
  <c r="Q242" i="2"/>
  <c r="P242" i="2"/>
  <c r="O242" i="2"/>
  <c r="N242" i="2"/>
  <c r="AF241" i="2"/>
  <c r="AE241" i="2"/>
  <c r="AG241" i="2" s="1"/>
  <c r="Z241" i="2"/>
  <c r="Y241" i="2"/>
  <c r="X241" i="2"/>
  <c r="V241" i="2"/>
  <c r="U241" i="2"/>
  <c r="T241" i="2"/>
  <c r="S241" i="2"/>
  <c r="R241" i="2"/>
  <c r="Q241" i="2"/>
  <c r="P241" i="2"/>
  <c r="O241" i="2"/>
  <c r="N241" i="2"/>
  <c r="AF240" i="2"/>
  <c r="AE240" i="2"/>
  <c r="Z240" i="2"/>
  <c r="Y240" i="2"/>
  <c r="X240" i="2"/>
  <c r="V240" i="2"/>
  <c r="U240" i="2"/>
  <c r="T240" i="2"/>
  <c r="S240" i="2"/>
  <c r="R240" i="2"/>
  <c r="Q240" i="2"/>
  <c r="P240" i="2"/>
  <c r="O240" i="2"/>
  <c r="N240" i="2"/>
  <c r="AF239" i="2"/>
  <c r="AG239" i="2" s="1"/>
  <c r="AE239" i="2"/>
  <c r="Z239" i="2"/>
  <c r="Y239" i="2"/>
  <c r="X239" i="2"/>
  <c r="V239" i="2"/>
  <c r="U239" i="2"/>
  <c r="T239" i="2"/>
  <c r="S239" i="2"/>
  <c r="R239" i="2"/>
  <c r="Q239" i="2"/>
  <c r="P239" i="2"/>
  <c r="O239" i="2"/>
  <c r="W239" i="2" s="1"/>
  <c r="AH239" i="2" s="1"/>
  <c r="N239" i="2"/>
  <c r="AF238" i="2"/>
  <c r="AE238" i="2"/>
  <c r="Z238" i="2"/>
  <c r="Y238" i="2"/>
  <c r="X238" i="2"/>
  <c r="V238" i="2"/>
  <c r="U238" i="2"/>
  <c r="T238" i="2"/>
  <c r="S238" i="2"/>
  <c r="R238" i="2"/>
  <c r="Q238" i="2"/>
  <c r="P238" i="2"/>
  <c r="O238" i="2"/>
  <c r="N238" i="2"/>
  <c r="W238" i="2" s="1"/>
  <c r="AF237" i="2"/>
  <c r="AE237" i="2"/>
  <c r="AG237" i="2" s="1"/>
  <c r="Z237" i="2"/>
  <c r="Y237" i="2"/>
  <c r="X237" i="2"/>
  <c r="V237" i="2"/>
  <c r="U237" i="2"/>
  <c r="T237" i="2"/>
  <c r="S237" i="2"/>
  <c r="R237" i="2"/>
  <c r="Q237" i="2"/>
  <c r="P237" i="2"/>
  <c r="O237" i="2"/>
  <c r="W237" i="2" s="1"/>
  <c r="AH237" i="2" s="1"/>
  <c r="N237" i="2"/>
  <c r="AF236" i="2"/>
  <c r="AE236" i="2"/>
  <c r="AG236" i="2" s="1"/>
  <c r="Z236" i="2"/>
  <c r="Y236" i="2"/>
  <c r="X236" i="2"/>
  <c r="V236" i="2"/>
  <c r="U236" i="2"/>
  <c r="T236" i="2"/>
  <c r="S236" i="2"/>
  <c r="R236" i="2"/>
  <c r="Q236" i="2"/>
  <c r="P236" i="2"/>
  <c r="O236" i="2"/>
  <c r="N236" i="2"/>
  <c r="AF235" i="2"/>
  <c r="AG235" i="2" s="1"/>
  <c r="AE235" i="2"/>
  <c r="Z235" i="2"/>
  <c r="Y235" i="2"/>
  <c r="X235" i="2"/>
  <c r="W235" i="2"/>
  <c r="AH235" i="2" s="1"/>
  <c r="V235" i="2"/>
  <c r="U235" i="2"/>
  <c r="T235" i="2"/>
  <c r="S235" i="2"/>
  <c r="R235" i="2"/>
  <c r="Q235" i="2"/>
  <c r="P235" i="2"/>
  <c r="O235" i="2"/>
  <c r="N235" i="2"/>
  <c r="AF234" i="2"/>
  <c r="AE234" i="2"/>
  <c r="Z234" i="2"/>
  <c r="Y234" i="2"/>
  <c r="X234" i="2"/>
  <c r="V234" i="2"/>
  <c r="U234" i="2"/>
  <c r="T234" i="2"/>
  <c r="S234" i="2"/>
  <c r="R234" i="2"/>
  <c r="Q234" i="2"/>
  <c r="P234" i="2"/>
  <c r="O234" i="2"/>
  <c r="N234" i="2"/>
  <c r="AF233" i="2"/>
  <c r="AE233" i="2"/>
  <c r="Z233" i="2"/>
  <c r="Y233" i="2"/>
  <c r="X233" i="2"/>
  <c r="V233" i="2"/>
  <c r="U233" i="2"/>
  <c r="T233" i="2"/>
  <c r="S233" i="2"/>
  <c r="R233" i="2"/>
  <c r="Q233" i="2"/>
  <c r="P233" i="2"/>
  <c r="O233" i="2"/>
  <c r="N233" i="2"/>
  <c r="AF232" i="2"/>
  <c r="AE232" i="2"/>
  <c r="Z232" i="2"/>
  <c r="Y232" i="2"/>
  <c r="X232" i="2"/>
  <c r="V232" i="2"/>
  <c r="U232" i="2"/>
  <c r="T232" i="2"/>
  <c r="S232" i="2"/>
  <c r="R232" i="2"/>
  <c r="Q232" i="2"/>
  <c r="P232" i="2"/>
  <c r="O232" i="2"/>
  <c r="N232" i="2"/>
  <c r="W232" i="2" s="1"/>
  <c r="AF231" i="2"/>
  <c r="AE231" i="2"/>
  <c r="Z231" i="2"/>
  <c r="Y231" i="2"/>
  <c r="X231" i="2"/>
  <c r="V231" i="2"/>
  <c r="U231" i="2"/>
  <c r="T231" i="2"/>
  <c r="S231" i="2"/>
  <c r="R231" i="2"/>
  <c r="Q231" i="2"/>
  <c r="P231" i="2"/>
  <c r="O231" i="2"/>
  <c r="N231" i="2"/>
  <c r="W231" i="2" s="1"/>
  <c r="AF230" i="2"/>
  <c r="AE230" i="2"/>
  <c r="Z230" i="2"/>
  <c r="Y230" i="2"/>
  <c r="X230" i="2"/>
  <c r="V230" i="2"/>
  <c r="U230" i="2"/>
  <c r="T230" i="2"/>
  <c r="S230" i="2"/>
  <c r="R230" i="2"/>
  <c r="Q230" i="2"/>
  <c r="P230" i="2"/>
  <c r="O230" i="2"/>
  <c r="W230" i="2" s="1"/>
  <c r="N230" i="2"/>
  <c r="AF229" i="2"/>
  <c r="AE229" i="2"/>
  <c r="AG229" i="2" s="1"/>
  <c r="Z229" i="2"/>
  <c r="Y229" i="2"/>
  <c r="X229" i="2"/>
  <c r="V229" i="2"/>
  <c r="U229" i="2"/>
  <c r="T229" i="2"/>
  <c r="S229" i="2"/>
  <c r="R229" i="2"/>
  <c r="Q229" i="2"/>
  <c r="P229" i="2"/>
  <c r="O229" i="2"/>
  <c r="W229" i="2" s="1"/>
  <c r="AH229" i="2" s="1"/>
  <c r="N229" i="2"/>
  <c r="AF228" i="2"/>
  <c r="AE228" i="2"/>
  <c r="AG228" i="2" s="1"/>
  <c r="Z228" i="2"/>
  <c r="Y228" i="2"/>
  <c r="X228" i="2"/>
  <c r="V228" i="2"/>
  <c r="W228" i="2" s="1"/>
  <c r="U228" i="2"/>
  <c r="T228" i="2"/>
  <c r="S228" i="2"/>
  <c r="R228" i="2"/>
  <c r="Q228" i="2"/>
  <c r="P228" i="2"/>
  <c r="O228" i="2"/>
  <c r="N228" i="2"/>
  <c r="AF227" i="2"/>
  <c r="AE227" i="2"/>
  <c r="AG227" i="2" s="1"/>
  <c r="Z227" i="2"/>
  <c r="Y227" i="2"/>
  <c r="X227" i="2"/>
  <c r="V227" i="2"/>
  <c r="U227" i="2"/>
  <c r="T227" i="2"/>
  <c r="S227" i="2"/>
  <c r="R227" i="2"/>
  <c r="Q227" i="2"/>
  <c r="W227" i="2" s="1"/>
  <c r="AH227" i="2" s="1"/>
  <c r="P227" i="2"/>
  <c r="O227" i="2"/>
  <c r="N227" i="2"/>
  <c r="AF226" i="2"/>
  <c r="AE226" i="2"/>
  <c r="Z226" i="2"/>
  <c r="Y226" i="2"/>
  <c r="X226" i="2"/>
  <c r="V226" i="2"/>
  <c r="U226" i="2"/>
  <c r="T226" i="2"/>
  <c r="S226" i="2"/>
  <c r="R226" i="2"/>
  <c r="Q226" i="2"/>
  <c r="P226" i="2"/>
  <c r="O226" i="2"/>
  <c r="N226" i="2"/>
  <c r="AF225" i="2"/>
  <c r="AE225" i="2"/>
  <c r="AG225" i="2" s="1"/>
  <c r="Z225" i="2"/>
  <c r="Y225" i="2"/>
  <c r="X225" i="2"/>
  <c r="V225" i="2"/>
  <c r="U225" i="2"/>
  <c r="T225" i="2"/>
  <c r="S225" i="2"/>
  <c r="R225" i="2"/>
  <c r="Q225" i="2"/>
  <c r="P225" i="2"/>
  <c r="W225" i="2" s="1"/>
  <c r="AH225" i="2" s="1"/>
  <c r="O225" i="2"/>
  <c r="N225" i="2"/>
  <c r="AF224" i="2"/>
  <c r="AE224" i="2"/>
  <c r="Z224" i="2"/>
  <c r="Y224" i="2"/>
  <c r="X224" i="2"/>
  <c r="V224" i="2"/>
  <c r="U224" i="2"/>
  <c r="T224" i="2"/>
  <c r="S224" i="2"/>
  <c r="R224" i="2"/>
  <c r="Q224" i="2"/>
  <c r="P224" i="2"/>
  <c r="O224" i="2"/>
  <c r="N224" i="2"/>
  <c r="W224" i="2" s="1"/>
  <c r="AF223" i="2"/>
  <c r="AE223" i="2"/>
  <c r="AG223" i="2" s="1"/>
  <c r="Z223" i="2"/>
  <c r="Y223" i="2"/>
  <c r="X223" i="2"/>
  <c r="V223" i="2"/>
  <c r="U223" i="2"/>
  <c r="T223" i="2"/>
  <c r="S223" i="2"/>
  <c r="R223" i="2"/>
  <c r="Q223" i="2"/>
  <c r="P223" i="2"/>
  <c r="O223" i="2"/>
  <c r="W223" i="2" s="1"/>
  <c r="N223" i="2"/>
  <c r="AF222" i="2"/>
  <c r="AE222" i="2"/>
  <c r="Z222" i="2"/>
  <c r="Y222" i="2"/>
  <c r="X222" i="2"/>
  <c r="V222" i="2"/>
  <c r="U222" i="2"/>
  <c r="T222" i="2"/>
  <c r="S222" i="2"/>
  <c r="R222" i="2"/>
  <c r="Q222" i="2"/>
  <c r="P222" i="2"/>
  <c r="O222" i="2"/>
  <c r="W222" i="2" s="1"/>
  <c r="N222" i="2"/>
  <c r="AG221" i="2"/>
  <c r="AF221" i="2"/>
  <c r="AE221" i="2"/>
  <c r="Z221" i="2"/>
  <c r="Y221" i="2"/>
  <c r="X221" i="2"/>
  <c r="V221" i="2"/>
  <c r="U221" i="2"/>
  <c r="T221" i="2"/>
  <c r="S221" i="2"/>
  <c r="R221" i="2"/>
  <c r="Q221" i="2"/>
  <c r="W221" i="2" s="1"/>
  <c r="AH221" i="2" s="1"/>
  <c r="P221" i="2"/>
  <c r="O221" i="2"/>
  <c r="N221" i="2"/>
  <c r="AF220" i="2"/>
  <c r="AE220" i="2"/>
  <c r="Z220" i="2"/>
  <c r="Y220" i="2"/>
  <c r="X220" i="2"/>
  <c r="V220" i="2"/>
  <c r="U220" i="2"/>
  <c r="T220" i="2"/>
  <c r="S220" i="2"/>
  <c r="R220" i="2"/>
  <c r="Q220" i="2"/>
  <c r="P220" i="2"/>
  <c r="O220" i="2"/>
  <c r="N220" i="2"/>
  <c r="AF219" i="2"/>
  <c r="AG219" i="2" s="1"/>
  <c r="AE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AF218" i="2"/>
  <c r="AE218" i="2"/>
  <c r="Z218" i="2"/>
  <c r="Y218" i="2"/>
  <c r="X218" i="2"/>
  <c r="V218" i="2"/>
  <c r="U218" i="2"/>
  <c r="T218" i="2"/>
  <c r="S218" i="2"/>
  <c r="R218" i="2"/>
  <c r="Q218" i="2"/>
  <c r="P218" i="2"/>
  <c r="O218" i="2"/>
  <c r="N218" i="2"/>
  <c r="W218" i="2" s="1"/>
  <c r="AF217" i="2"/>
  <c r="AE217" i="2"/>
  <c r="Z217" i="2"/>
  <c r="Y217" i="2"/>
  <c r="X217" i="2"/>
  <c r="V217" i="2"/>
  <c r="U217" i="2"/>
  <c r="T217" i="2"/>
  <c r="S217" i="2"/>
  <c r="R217" i="2"/>
  <c r="Q217" i="2"/>
  <c r="P217" i="2"/>
  <c r="O217" i="2"/>
  <c r="N217" i="2"/>
  <c r="W217" i="2" s="1"/>
  <c r="AF216" i="2"/>
  <c r="AE216" i="2"/>
  <c r="AG216" i="2" s="1"/>
  <c r="Z216" i="2"/>
  <c r="Y216" i="2"/>
  <c r="X216" i="2"/>
  <c r="V216" i="2"/>
  <c r="U216" i="2"/>
  <c r="T216" i="2"/>
  <c r="S216" i="2"/>
  <c r="R216" i="2"/>
  <c r="Q216" i="2"/>
  <c r="W216" i="2" s="1"/>
  <c r="P216" i="2"/>
  <c r="O216" i="2"/>
  <c r="N216" i="2"/>
  <c r="AF215" i="2"/>
  <c r="AE215" i="2"/>
  <c r="AG215" i="2" s="1"/>
  <c r="Z215" i="2"/>
  <c r="Y215" i="2"/>
  <c r="X215" i="2"/>
  <c r="V215" i="2"/>
  <c r="U215" i="2"/>
  <c r="T215" i="2"/>
  <c r="S215" i="2"/>
  <c r="R215" i="2"/>
  <c r="W215" i="2" s="1"/>
  <c r="Q215" i="2"/>
  <c r="P215" i="2"/>
  <c r="O215" i="2"/>
  <c r="N215" i="2"/>
  <c r="AF214" i="2"/>
  <c r="AE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AG213" i="2"/>
  <c r="AF213" i="2"/>
  <c r="AE213" i="2"/>
  <c r="Z213" i="2"/>
  <c r="Y213" i="2"/>
  <c r="X213" i="2"/>
  <c r="V213" i="2"/>
  <c r="U213" i="2"/>
  <c r="T213" i="2"/>
  <c r="S213" i="2"/>
  <c r="R213" i="2"/>
  <c r="Q213" i="2"/>
  <c r="P213" i="2"/>
  <c r="O213" i="2"/>
  <c r="N213" i="2"/>
  <c r="AF212" i="2"/>
  <c r="AG212" i="2" s="1"/>
  <c r="AE212" i="2"/>
  <c r="Z212" i="2"/>
  <c r="Y212" i="2"/>
  <c r="X212" i="2"/>
  <c r="V212" i="2"/>
  <c r="U212" i="2"/>
  <c r="T212" i="2"/>
  <c r="S212" i="2"/>
  <c r="R212" i="2"/>
  <c r="Q212" i="2"/>
  <c r="P212" i="2"/>
  <c r="O212" i="2"/>
  <c r="N212" i="2"/>
  <c r="AF211" i="2"/>
  <c r="AG211" i="2" s="1"/>
  <c r="AE211" i="2"/>
  <c r="Z211" i="2"/>
  <c r="Y211" i="2"/>
  <c r="X211" i="2"/>
  <c r="V211" i="2"/>
  <c r="U211" i="2"/>
  <c r="T211" i="2"/>
  <c r="S211" i="2"/>
  <c r="R211" i="2"/>
  <c r="Q211" i="2"/>
  <c r="P211" i="2"/>
  <c r="O211" i="2"/>
  <c r="N211" i="2"/>
  <c r="W211" i="2" s="1"/>
  <c r="AH211" i="2" s="1"/>
  <c r="AF210" i="2"/>
  <c r="AG210" i="2" s="1"/>
  <c r="AE210" i="2"/>
  <c r="Z210" i="2"/>
  <c r="Y210" i="2"/>
  <c r="X210" i="2"/>
  <c r="V210" i="2"/>
  <c r="U210" i="2"/>
  <c r="T210" i="2"/>
  <c r="S210" i="2"/>
  <c r="R210" i="2"/>
  <c r="Q210" i="2"/>
  <c r="P210" i="2"/>
  <c r="O210" i="2"/>
  <c r="N210" i="2"/>
  <c r="W210" i="2" s="1"/>
  <c r="AF209" i="2"/>
  <c r="AE209" i="2"/>
  <c r="AG209" i="2" s="1"/>
  <c r="Z209" i="2"/>
  <c r="Y209" i="2"/>
  <c r="X209" i="2"/>
  <c r="V209" i="2"/>
  <c r="U209" i="2"/>
  <c r="T209" i="2"/>
  <c r="S209" i="2"/>
  <c r="R209" i="2"/>
  <c r="Q209" i="2"/>
  <c r="W209" i="2" s="1"/>
  <c r="AH209" i="2" s="1"/>
  <c r="P209" i="2"/>
  <c r="O209" i="2"/>
  <c r="N209" i="2"/>
  <c r="AF208" i="2"/>
  <c r="AE208" i="2"/>
  <c r="AG208" i="2" s="1"/>
  <c r="Z208" i="2"/>
  <c r="Y208" i="2"/>
  <c r="X208" i="2"/>
  <c r="V208" i="2"/>
  <c r="U208" i="2"/>
  <c r="T208" i="2"/>
  <c r="S208" i="2"/>
  <c r="R208" i="2"/>
  <c r="Q208" i="2"/>
  <c r="P208" i="2"/>
  <c r="O208" i="2"/>
  <c r="N208" i="2"/>
  <c r="AF207" i="2"/>
  <c r="AE207" i="2"/>
  <c r="AG207" i="2" s="1"/>
  <c r="Z207" i="2"/>
  <c r="Y207" i="2"/>
  <c r="X207" i="2"/>
  <c r="V207" i="2"/>
  <c r="U207" i="2"/>
  <c r="T207" i="2"/>
  <c r="S207" i="2"/>
  <c r="R207" i="2"/>
  <c r="Q207" i="2"/>
  <c r="P207" i="2"/>
  <c r="O207" i="2"/>
  <c r="N207" i="2"/>
  <c r="W207" i="2" s="1"/>
  <c r="AH207" i="2" s="1"/>
  <c r="AF206" i="2"/>
  <c r="AG206" i="2" s="1"/>
  <c r="AE206" i="2"/>
  <c r="Z206" i="2"/>
  <c r="Y206" i="2"/>
  <c r="X206" i="2"/>
  <c r="V206" i="2"/>
  <c r="U206" i="2"/>
  <c r="T206" i="2"/>
  <c r="S206" i="2"/>
  <c r="R206" i="2"/>
  <c r="Q206" i="2"/>
  <c r="P206" i="2"/>
  <c r="O206" i="2"/>
  <c r="N206" i="2"/>
  <c r="AG205" i="2"/>
  <c r="AF205" i="2"/>
  <c r="AE205" i="2"/>
  <c r="Z205" i="2"/>
  <c r="Y205" i="2"/>
  <c r="X205" i="2"/>
  <c r="V205" i="2"/>
  <c r="U205" i="2"/>
  <c r="T205" i="2"/>
  <c r="S205" i="2"/>
  <c r="R205" i="2"/>
  <c r="Q205" i="2"/>
  <c r="P205" i="2"/>
  <c r="O205" i="2"/>
  <c r="N205" i="2"/>
  <c r="AF204" i="2"/>
  <c r="AE204" i="2"/>
  <c r="Z204" i="2"/>
  <c r="Y204" i="2"/>
  <c r="X204" i="2"/>
  <c r="V204" i="2"/>
  <c r="U204" i="2"/>
  <c r="T204" i="2"/>
  <c r="S204" i="2"/>
  <c r="R204" i="2"/>
  <c r="Q204" i="2"/>
  <c r="P204" i="2"/>
  <c r="O204" i="2"/>
  <c r="N204" i="2"/>
  <c r="W204" i="2" s="1"/>
  <c r="AF203" i="2"/>
  <c r="AE203" i="2"/>
  <c r="Z203" i="2"/>
  <c r="Y203" i="2"/>
  <c r="X203" i="2"/>
  <c r="V203" i="2"/>
  <c r="U203" i="2"/>
  <c r="T203" i="2"/>
  <c r="S203" i="2"/>
  <c r="R203" i="2"/>
  <c r="Q203" i="2"/>
  <c r="P203" i="2"/>
  <c r="O203" i="2"/>
  <c r="N203" i="2"/>
  <c r="AG202" i="2"/>
  <c r="AF202" i="2"/>
  <c r="AE202" i="2"/>
  <c r="Z202" i="2"/>
  <c r="Y202" i="2"/>
  <c r="X202" i="2"/>
  <c r="V202" i="2"/>
  <c r="U202" i="2"/>
  <c r="T202" i="2"/>
  <c r="S202" i="2"/>
  <c r="R202" i="2"/>
  <c r="Q202" i="2"/>
  <c r="W202" i="2" s="1"/>
  <c r="P202" i="2"/>
  <c r="O202" i="2"/>
  <c r="N202" i="2"/>
  <c r="AF201" i="2"/>
  <c r="AE201" i="2"/>
  <c r="AG201" i="2" s="1"/>
  <c r="Z201" i="2"/>
  <c r="Y201" i="2"/>
  <c r="X201" i="2"/>
  <c r="V201" i="2"/>
  <c r="U201" i="2"/>
  <c r="T201" i="2"/>
  <c r="S201" i="2"/>
  <c r="R201" i="2"/>
  <c r="Q201" i="2"/>
  <c r="P201" i="2"/>
  <c r="O201" i="2"/>
  <c r="W201" i="2" s="1"/>
  <c r="AH201" i="2" s="1"/>
  <c r="N201" i="2"/>
  <c r="AF200" i="2"/>
  <c r="AG200" i="2" s="1"/>
  <c r="AE200" i="2"/>
  <c r="Z200" i="2"/>
  <c r="Y200" i="2"/>
  <c r="X200" i="2"/>
  <c r="V200" i="2"/>
  <c r="U200" i="2"/>
  <c r="W200" i="2" s="1"/>
  <c r="T200" i="2"/>
  <c r="S200" i="2"/>
  <c r="R200" i="2"/>
  <c r="Q200" i="2"/>
  <c r="P200" i="2"/>
  <c r="O200" i="2"/>
  <c r="N200" i="2"/>
  <c r="AF199" i="2"/>
  <c r="AE199" i="2"/>
  <c r="AG199" i="2" s="1"/>
  <c r="Z199" i="2"/>
  <c r="Y199" i="2"/>
  <c r="X199" i="2"/>
  <c r="V199" i="2"/>
  <c r="U199" i="2"/>
  <c r="T199" i="2"/>
  <c r="S199" i="2"/>
  <c r="R199" i="2"/>
  <c r="Q199" i="2"/>
  <c r="P199" i="2"/>
  <c r="O199" i="2"/>
  <c r="N199" i="2"/>
  <c r="W199" i="2" s="1"/>
  <c r="AH199" i="2" s="1"/>
  <c r="AF198" i="2"/>
  <c r="AG198" i="2" s="1"/>
  <c r="AE198" i="2"/>
  <c r="Z198" i="2"/>
  <c r="Y198" i="2"/>
  <c r="X198" i="2"/>
  <c r="V198" i="2"/>
  <c r="U198" i="2"/>
  <c r="T198" i="2"/>
  <c r="S198" i="2"/>
  <c r="R198" i="2"/>
  <c r="Q198" i="2"/>
  <c r="P198" i="2"/>
  <c r="O198" i="2"/>
  <c r="N198" i="2"/>
  <c r="AF197" i="2"/>
  <c r="AE197" i="2"/>
  <c r="Z197" i="2"/>
  <c r="Y197" i="2"/>
  <c r="X197" i="2"/>
  <c r="V197" i="2"/>
  <c r="U197" i="2"/>
  <c r="T197" i="2"/>
  <c r="S197" i="2"/>
  <c r="R197" i="2"/>
  <c r="Q197" i="2"/>
  <c r="P197" i="2"/>
  <c r="W197" i="2" s="1"/>
  <c r="O197" i="2"/>
  <c r="N197" i="2"/>
  <c r="AF196" i="2"/>
  <c r="AG196" i="2" s="1"/>
  <c r="AE196" i="2"/>
  <c r="Z196" i="2"/>
  <c r="Y196" i="2"/>
  <c r="X196" i="2"/>
  <c r="V196" i="2"/>
  <c r="U196" i="2"/>
  <c r="T196" i="2"/>
  <c r="S196" i="2"/>
  <c r="R196" i="2"/>
  <c r="Q196" i="2"/>
  <c r="P196" i="2"/>
  <c r="O196" i="2"/>
  <c r="N196" i="2"/>
  <c r="W196" i="2" s="1"/>
  <c r="AF195" i="2"/>
  <c r="AE195" i="2"/>
  <c r="AG195" i="2" s="1"/>
  <c r="Z195" i="2"/>
  <c r="Y195" i="2"/>
  <c r="X195" i="2"/>
  <c r="V195" i="2"/>
  <c r="U195" i="2"/>
  <c r="T195" i="2"/>
  <c r="S195" i="2"/>
  <c r="R195" i="2"/>
  <c r="Q195" i="2"/>
  <c r="W195" i="2" s="1"/>
  <c r="AH195" i="2" s="1"/>
  <c r="P195" i="2"/>
  <c r="O195" i="2"/>
  <c r="N195" i="2"/>
  <c r="AF194" i="2"/>
  <c r="AG194" i="2" s="1"/>
  <c r="AE194" i="2"/>
  <c r="Z194" i="2"/>
  <c r="Y194" i="2"/>
  <c r="X194" i="2"/>
  <c r="V194" i="2"/>
  <c r="U194" i="2"/>
  <c r="T194" i="2"/>
  <c r="S194" i="2"/>
  <c r="R194" i="2"/>
  <c r="Q194" i="2"/>
  <c r="P194" i="2"/>
  <c r="O194" i="2"/>
  <c r="W194" i="2" s="1"/>
  <c r="AH194" i="2" s="1"/>
  <c r="N194" i="2"/>
  <c r="AF193" i="2"/>
  <c r="AG193" i="2" s="1"/>
  <c r="AE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AF192" i="2"/>
  <c r="AE192" i="2"/>
  <c r="AG192" i="2" s="1"/>
  <c r="Z192" i="2"/>
  <c r="Y192" i="2"/>
  <c r="X192" i="2"/>
  <c r="V192" i="2"/>
  <c r="U192" i="2"/>
  <c r="T192" i="2"/>
  <c r="S192" i="2"/>
  <c r="R192" i="2"/>
  <c r="Q192" i="2"/>
  <c r="P192" i="2"/>
  <c r="O192" i="2"/>
  <c r="N192" i="2"/>
  <c r="W192" i="2" s="1"/>
  <c r="AF191" i="2"/>
  <c r="AG191" i="2" s="1"/>
  <c r="AE191" i="2"/>
  <c r="Z191" i="2"/>
  <c r="Y191" i="2"/>
  <c r="X191" i="2"/>
  <c r="V191" i="2"/>
  <c r="U191" i="2"/>
  <c r="T191" i="2"/>
  <c r="S191" i="2"/>
  <c r="R191" i="2"/>
  <c r="Q191" i="2"/>
  <c r="P191" i="2"/>
  <c r="O191" i="2"/>
  <c r="N191" i="2"/>
  <c r="W191" i="2" s="1"/>
  <c r="AF190" i="2"/>
  <c r="AE190" i="2"/>
  <c r="Z190" i="2"/>
  <c r="Y190" i="2"/>
  <c r="X190" i="2"/>
  <c r="V190" i="2"/>
  <c r="U190" i="2"/>
  <c r="T190" i="2"/>
  <c r="S190" i="2"/>
  <c r="R190" i="2"/>
  <c r="Q190" i="2"/>
  <c r="P190" i="2"/>
  <c r="W190" i="2" s="1"/>
  <c r="O190" i="2"/>
  <c r="N190" i="2"/>
  <c r="AF189" i="2"/>
  <c r="AG189" i="2" s="1"/>
  <c r="AE189" i="2"/>
  <c r="Z189" i="2"/>
  <c r="Y189" i="2"/>
  <c r="X189" i="2"/>
  <c r="V189" i="2"/>
  <c r="U189" i="2"/>
  <c r="T189" i="2"/>
  <c r="S189" i="2"/>
  <c r="R189" i="2"/>
  <c r="Q189" i="2"/>
  <c r="P189" i="2"/>
  <c r="O189" i="2"/>
  <c r="N189" i="2"/>
  <c r="W189" i="2" s="1"/>
  <c r="AF188" i="2"/>
  <c r="AE188" i="2"/>
  <c r="AG188" i="2" s="1"/>
  <c r="Z188" i="2"/>
  <c r="Y188" i="2"/>
  <c r="X188" i="2"/>
  <c r="V188" i="2"/>
  <c r="U188" i="2"/>
  <c r="T188" i="2"/>
  <c r="S188" i="2"/>
  <c r="W188" i="2" s="1"/>
  <c r="R188" i="2"/>
  <c r="Q188" i="2"/>
  <c r="P188" i="2"/>
  <c r="O188" i="2"/>
  <c r="N188" i="2"/>
  <c r="AF187" i="2"/>
  <c r="AE187" i="2"/>
  <c r="AG187" i="2" s="1"/>
  <c r="Z187" i="2"/>
  <c r="Y187" i="2"/>
  <c r="X187" i="2"/>
  <c r="V187" i="2"/>
  <c r="U187" i="2"/>
  <c r="T187" i="2"/>
  <c r="S187" i="2"/>
  <c r="R187" i="2"/>
  <c r="W187" i="2" s="1"/>
  <c r="AH187" i="2" s="1"/>
  <c r="Q187" i="2"/>
  <c r="P187" i="2"/>
  <c r="O187" i="2"/>
  <c r="N187" i="2"/>
  <c r="AF186" i="2"/>
  <c r="AE186" i="2"/>
  <c r="Z186" i="2"/>
  <c r="Y186" i="2"/>
  <c r="X186" i="2"/>
  <c r="V186" i="2"/>
  <c r="U186" i="2"/>
  <c r="T186" i="2"/>
  <c r="S186" i="2"/>
  <c r="R186" i="2"/>
  <c r="Q186" i="2"/>
  <c r="P186" i="2"/>
  <c r="O186" i="2"/>
  <c r="N186" i="2"/>
  <c r="W186" i="2" s="1"/>
  <c r="AF185" i="2"/>
  <c r="AE185" i="2"/>
  <c r="Z185" i="2"/>
  <c r="Y185" i="2"/>
  <c r="X185" i="2"/>
  <c r="V185" i="2"/>
  <c r="U185" i="2"/>
  <c r="T185" i="2"/>
  <c r="S185" i="2"/>
  <c r="R185" i="2"/>
  <c r="Q185" i="2"/>
  <c r="P185" i="2"/>
  <c r="O185" i="2"/>
  <c r="N185" i="2"/>
  <c r="W185" i="2" s="1"/>
  <c r="AF184" i="2"/>
  <c r="AE184" i="2"/>
  <c r="AG184" i="2" s="1"/>
  <c r="Z184" i="2"/>
  <c r="Y184" i="2"/>
  <c r="X184" i="2"/>
  <c r="V184" i="2"/>
  <c r="U184" i="2"/>
  <c r="T184" i="2"/>
  <c r="S184" i="2"/>
  <c r="R184" i="2"/>
  <c r="Q184" i="2"/>
  <c r="P184" i="2"/>
  <c r="O184" i="2"/>
  <c r="N184" i="2"/>
  <c r="W184" i="2" s="1"/>
  <c r="AF183" i="2"/>
  <c r="AE183" i="2"/>
  <c r="Z183" i="2"/>
  <c r="Y183" i="2"/>
  <c r="X183" i="2"/>
  <c r="V183" i="2"/>
  <c r="U183" i="2"/>
  <c r="T183" i="2"/>
  <c r="S183" i="2"/>
  <c r="R183" i="2"/>
  <c r="W183" i="2" s="1"/>
  <c r="Q183" i="2"/>
  <c r="P183" i="2"/>
  <c r="O183" i="2"/>
  <c r="N183" i="2"/>
  <c r="AF182" i="2"/>
  <c r="AE182" i="2"/>
  <c r="Z182" i="2"/>
  <c r="Y182" i="2"/>
  <c r="X182" i="2"/>
  <c r="V182" i="2"/>
  <c r="U182" i="2"/>
  <c r="T182" i="2"/>
  <c r="S182" i="2"/>
  <c r="R182" i="2"/>
  <c r="Q182" i="2"/>
  <c r="P182" i="2"/>
  <c r="O182" i="2"/>
  <c r="N182" i="2"/>
  <c r="W182" i="2" s="1"/>
  <c r="AF181" i="2"/>
  <c r="AE181" i="2"/>
  <c r="AG181" i="2" s="1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AF180" i="2"/>
  <c r="AE180" i="2"/>
  <c r="AG180" i="2" s="1"/>
  <c r="Z180" i="2"/>
  <c r="Y180" i="2"/>
  <c r="X180" i="2"/>
  <c r="V180" i="2"/>
  <c r="U180" i="2"/>
  <c r="T180" i="2"/>
  <c r="S180" i="2"/>
  <c r="R180" i="2"/>
  <c r="Q180" i="2"/>
  <c r="P180" i="2"/>
  <c r="O180" i="2"/>
  <c r="N180" i="2"/>
  <c r="W180" i="2" s="1"/>
  <c r="AH180" i="2" s="1"/>
  <c r="AF179" i="2"/>
  <c r="AE179" i="2"/>
  <c r="Z179" i="2"/>
  <c r="Y179" i="2"/>
  <c r="X179" i="2"/>
  <c r="V179" i="2"/>
  <c r="U179" i="2"/>
  <c r="T179" i="2"/>
  <c r="S179" i="2"/>
  <c r="R179" i="2"/>
  <c r="Q179" i="2"/>
  <c r="P179" i="2"/>
  <c r="O179" i="2"/>
  <c r="N179" i="2"/>
  <c r="W179" i="2" s="1"/>
  <c r="AF178" i="2"/>
  <c r="AE178" i="2"/>
  <c r="Z178" i="2"/>
  <c r="Y178" i="2"/>
  <c r="X178" i="2"/>
  <c r="V178" i="2"/>
  <c r="U178" i="2"/>
  <c r="T178" i="2"/>
  <c r="S178" i="2"/>
  <c r="R178" i="2"/>
  <c r="Q178" i="2"/>
  <c r="P178" i="2"/>
  <c r="O178" i="2"/>
  <c r="N178" i="2"/>
  <c r="W178" i="2" s="1"/>
  <c r="AF177" i="2"/>
  <c r="AE177" i="2"/>
  <c r="Z177" i="2"/>
  <c r="Y177" i="2"/>
  <c r="X177" i="2"/>
  <c r="V177" i="2"/>
  <c r="U177" i="2"/>
  <c r="T177" i="2"/>
  <c r="S177" i="2"/>
  <c r="R177" i="2"/>
  <c r="Q177" i="2"/>
  <c r="P177" i="2"/>
  <c r="O177" i="2"/>
  <c r="N177" i="2"/>
  <c r="AF176" i="2"/>
  <c r="AE176" i="2"/>
  <c r="Z176" i="2"/>
  <c r="Y176" i="2"/>
  <c r="X176" i="2"/>
  <c r="V176" i="2"/>
  <c r="U176" i="2"/>
  <c r="T176" i="2"/>
  <c r="S176" i="2"/>
  <c r="R176" i="2"/>
  <c r="Q176" i="2"/>
  <c r="W176" i="2" s="1"/>
  <c r="P176" i="2"/>
  <c r="O176" i="2"/>
  <c r="N176" i="2"/>
  <c r="AF175" i="2"/>
  <c r="AE175" i="2"/>
  <c r="Z175" i="2"/>
  <c r="Y175" i="2"/>
  <c r="X175" i="2"/>
  <c r="V175" i="2"/>
  <c r="U175" i="2"/>
  <c r="T175" i="2"/>
  <c r="S175" i="2"/>
  <c r="R175" i="2"/>
  <c r="Q175" i="2"/>
  <c r="P175" i="2"/>
  <c r="O175" i="2"/>
  <c r="N175" i="2"/>
  <c r="AF174" i="2"/>
  <c r="AE174" i="2"/>
  <c r="Z174" i="2"/>
  <c r="Y174" i="2"/>
  <c r="X174" i="2"/>
  <c r="V174" i="2"/>
  <c r="U174" i="2"/>
  <c r="T174" i="2"/>
  <c r="S174" i="2"/>
  <c r="W174" i="2" s="1"/>
  <c r="R174" i="2"/>
  <c r="Q174" i="2"/>
  <c r="P174" i="2"/>
  <c r="O174" i="2"/>
  <c r="N174" i="2"/>
  <c r="AF173" i="2"/>
  <c r="AE173" i="2"/>
  <c r="AG173" i="2" s="1"/>
  <c r="Z173" i="2"/>
  <c r="Y173" i="2"/>
  <c r="X173" i="2"/>
  <c r="V173" i="2"/>
  <c r="U173" i="2"/>
  <c r="T173" i="2"/>
  <c r="S173" i="2"/>
  <c r="R173" i="2"/>
  <c r="Q173" i="2"/>
  <c r="P173" i="2"/>
  <c r="O173" i="2"/>
  <c r="W173" i="2" s="1"/>
  <c r="N173" i="2"/>
  <c r="AF172" i="2"/>
  <c r="AE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AF171" i="2"/>
  <c r="AE171" i="2"/>
  <c r="Z171" i="2"/>
  <c r="Y171" i="2"/>
  <c r="X171" i="2"/>
  <c r="V171" i="2"/>
  <c r="U171" i="2"/>
  <c r="T171" i="2"/>
  <c r="S171" i="2"/>
  <c r="R171" i="2"/>
  <c r="Q171" i="2"/>
  <c r="P171" i="2"/>
  <c r="O171" i="2"/>
  <c r="N171" i="2"/>
  <c r="W171" i="2" s="1"/>
  <c r="AG170" i="2"/>
  <c r="AF170" i="2"/>
  <c r="AE170" i="2"/>
  <c r="Z170" i="2"/>
  <c r="Y170" i="2"/>
  <c r="X170" i="2"/>
  <c r="V170" i="2"/>
  <c r="U170" i="2"/>
  <c r="T170" i="2"/>
  <c r="S170" i="2"/>
  <c r="R170" i="2"/>
  <c r="Q170" i="2"/>
  <c r="P170" i="2"/>
  <c r="O170" i="2"/>
  <c r="N170" i="2"/>
  <c r="AF169" i="2"/>
  <c r="AE169" i="2"/>
  <c r="AG169" i="2" s="1"/>
  <c r="Z169" i="2"/>
  <c r="Y169" i="2"/>
  <c r="X169" i="2"/>
  <c r="V169" i="2"/>
  <c r="U169" i="2"/>
  <c r="T169" i="2"/>
  <c r="S169" i="2"/>
  <c r="R169" i="2"/>
  <c r="Q169" i="2"/>
  <c r="W169" i="2" s="1"/>
  <c r="P169" i="2"/>
  <c r="O169" i="2"/>
  <c r="N169" i="2"/>
  <c r="AF168" i="2"/>
  <c r="AE168" i="2"/>
  <c r="Z168" i="2"/>
  <c r="Y168" i="2"/>
  <c r="X168" i="2"/>
  <c r="V168" i="2"/>
  <c r="U168" i="2"/>
  <c r="T168" i="2"/>
  <c r="S168" i="2"/>
  <c r="R168" i="2"/>
  <c r="Q168" i="2"/>
  <c r="P168" i="2"/>
  <c r="O168" i="2"/>
  <c r="N168" i="2"/>
  <c r="W168" i="2" s="1"/>
  <c r="AF167" i="2"/>
  <c r="AE167" i="2"/>
  <c r="AG167" i="2" s="1"/>
  <c r="Z167" i="2"/>
  <c r="Y167" i="2"/>
  <c r="X167" i="2"/>
  <c r="V167" i="2"/>
  <c r="W167" i="2" s="1"/>
  <c r="U167" i="2"/>
  <c r="T167" i="2"/>
  <c r="S167" i="2"/>
  <c r="R167" i="2"/>
  <c r="Q167" i="2"/>
  <c r="P167" i="2"/>
  <c r="O167" i="2"/>
  <c r="N167" i="2"/>
  <c r="AF166" i="2"/>
  <c r="AE166" i="2"/>
  <c r="Z166" i="2"/>
  <c r="Y166" i="2"/>
  <c r="X166" i="2"/>
  <c r="V166" i="2"/>
  <c r="U166" i="2"/>
  <c r="T166" i="2"/>
  <c r="S166" i="2"/>
  <c r="R166" i="2"/>
  <c r="Q166" i="2"/>
  <c r="P166" i="2"/>
  <c r="O166" i="2"/>
  <c r="W166" i="2" s="1"/>
  <c r="N166" i="2"/>
  <c r="AF165" i="2"/>
  <c r="AE165" i="2"/>
  <c r="Z165" i="2"/>
  <c r="Y165" i="2"/>
  <c r="X165" i="2"/>
  <c r="V165" i="2"/>
  <c r="U165" i="2"/>
  <c r="T165" i="2"/>
  <c r="S165" i="2"/>
  <c r="R165" i="2"/>
  <c r="Q165" i="2"/>
  <c r="P165" i="2"/>
  <c r="O165" i="2"/>
  <c r="N165" i="2"/>
  <c r="W165" i="2" s="1"/>
  <c r="AF164" i="2"/>
  <c r="AE164" i="2"/>
  <c r="Z164" i="2"/>
  <c r="Y164" i="2"/>
  <c r="X164" i="2"/>
  <c r="V164" i="2"/>
  <c r="U164" i="2"/>
  <c r="T164" i="2"/>
  <c r="S164" i="2"/>
  <c r="R164" i="2"/>
  <c r="Q164" i="2"/>
  <c r="P164" i="2"/>
  <c r="O164" i="2"/>
  <c r="N164" i="2"/>
  <c r="AF163" i="2"/>
  <c r="AE163" i="2"/>
  <c r="AG163" i="2" s="1"/>
  <c r="Z163" i="2"/>
  <c r="Y163" i="2"/>
  <c r="X163" i="2"/>
  <c r="V163" i="2"/>
  <c r="U163" i="2"/>
  <c r="T163" i="2"/>
  <c r="S163" i="2"/>
  <c r="R163" i="2"/>
  <c r="Q163" i="2"/>
  <c r="P163" i="2"/>
  <c r="O163" i="2"/>
  <c r="N163" i="2"/>
  <c r="W163" i="2" s="1"/>
  <c r="AF162" i="2"/>
  <c r="AE162" i="2"/>
  <c r="Z162" i="2"/>
  <c r="Y162" i="2"/>
  <c r="X162" i="2"/>
  <c r="V162" i="2"/>
  <c r="U162" i="2"/>
  <c r="T162" i="2"/>
  <c r="S162" i="2"/>
  <c r="R162" i="2"/>
  <c r="Q162" i="2"/>
  <c r="W162" i="2" s="1"/>
  <c r="P162" i="2"/>
  <c r="O162" i="2"/>
  <c r="N162" i="2"/>
  <c r="AF161" i="2"/>
  <c r="AE161" i="2"/>
  <c r="Z161" i="2"/>
  <c r="Y161" i="2"/>
  <c r="X161" i="2"/>
  <c r="V161" i="2"/>
  <c r="U161" i="2"/>
  <c r="T161" i="2"/>
  <c r="S161" i="2"/>
  <c r="R161" i="2"/>
  <c r="Q161" i="2"/>
  <c r="P161" i="2"/>
  <c r="O161" i="2"/>
  <c r="N161" i="2"/>
  <c r="W161" i="2" s="1"/>
  <c r="AF160" i="2"/>
  <c r="AE160" i="2"/>
  <c r="AG160" i="2" s="1"/>
  <c r="AH160" i="2" s="1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AF159" i="2"/>
  <c r="AE159" i="2"/>
  <c r="AG159" i="2" s="1"/>
  <c r="Z159" i="2"/>
  <c r="Y159" i="2"/>
  <c r="X159" i="2"/>
  <c r="V159" i="2"/>
  <c r="U159" i="2"/>
  <c r="T159" i="2"/>
  <c r="S159" i="2"/>
  <c r="R159" i="2"/>
  <c r="W159" i="2" s="1"/>
  <c r="AH159" i="2" s="1"/>
  <c r="Q159" i="2"/>
  <c r="P159" i="2"/>
  <c r="O159" i="2"/>
  <c r="N159" i="2"/>
  <c r="AF158" i="2"/>
  <c r="AE158" i="2"/>
  <c r="AG158" i="2" s="1"/>
  <c r="Z158" i="2"/>
  <c r="Y158" i="2"/>
  <c r="X158" i="2"/>
  <c r="V158" i="2"/>
  <c r="U158" i="2"/>
  <c r="T158" i="2"/>
  <c r="S158" i="2"/>
  <c r="R158" i="2"/>
  <c r="Q158" i="2"/>
  <c r="P158" i="2"/>
  <c r="O158" i="2"/>
  <c r="N158" i="2"/>
  <c r="W158" i="2" s="1"/>
  <c r="AF157" i="2"/>
  <c r="AE157" i="2"/>
  <c r="AG157" i="2" s="1"/>
  <c r="Z157" i="2"/>
  <c r="Y157" i="2"/>
  <c r="X157" i="2"/>
  <c r="V157" i="2"/>
  <c r="U157" i="2"/>
  <c r="T157" i="2"/>
  <c r="S157" i="2"/>
  <c r="R157" i="2"/>
  <c r="Q157" i="2"/>
  <c r="P157" i="2"/>
  <c r="O157" i="2"/>
  <c r="N157" i="2"/>
  <c r="AF156" i="2"/>
  <c r="AE156" i="2"/>
  <c r="AG156" i="2" s="1"/>
  <c r="Z156" i="2"/>
  <c r="Y156" i="2"/>
  <c r="X156" i="2"/>
  <c r="V156" i="2"/>
  <c r="U156" i="2"/>
  <c r="T156" i="2"/>
  <c r="S156" i="2"/>
  <c r="R156" i="2"/>
  <c r="Q156" i="2"/>
  <c r="P156" i="2"/>
  <c r="O156" i="2"/>
  <c r="N156" i="2"/>
  <c r="AF155" i="2"/>
  <c r="AE155" i="2"/>
  <c r="Z155" i="2"/>
  <c r="Y155" i="2"/>
  <c r="X155" i="2"/>
  <c r="V155" i="2"/>
  <c r="U155" i="2"/>
  <c r="T155" i="2"/>
  <c r="W155" i="2" s="1"/>
  <c r="S155" i="2"/>
  <c r="R155" i="2"/>
  <c r="Q155" i="2"/>
  <c r="P155" i="2"/>
  <c r="O155" i="2"/>
  <c r="N155" i="2"/>
  <c r="AF154" i="2"/>
  <c r="AG154" i="2" s="1"/>
  <c r="AE154" i="2"/>
  <c r="Z154" i="2"/>
  <c r="Y154" i="2"/>
  <c r="X154" i="2"/>
  <c r="V154" i="2"/>
  <c r="U154" i="2"/>
  <c r="W154" i="2" s="1"/>
  <c r="AH154" i="2" s="1"/>
  <c r="T154" i="2"/>
  <c r="S154" i="2"/>
  <c r="R154" i="2"/>
  <c r="Q154" i="2"/>
  <c r="P154" i="2"/>
  <c r="O154" i="2"/>
  <c r="N154" i="2"/>
  <c r="AF153" i="2"/>
  <c r="AE153" i="2"/>
  <c r="AG153" i="2" s="1"/>
  <c r="Z153" i="2"/>
  <c r="Y153" i="2"/>
  <c r="X153" i="2"/>
  <c r="V153" i="2"/>
  <c r="U153" i="2"/>
  <c r="T153" i="2"/>
  <c r="S153" i="2"/>
  <c r="R153" i="2"/>
  <c r="Q153" i="2"/>
  <c r="W153" i="2" s="1"/>
  <c r="AH153" i="2" s="1"/>
  <c r="P153" i="2"/>
  <c r="O153" i="2"/>
  <c r="N153" i="2"/>
  <c r="AF152" i="2"/>
  <c r="AE152" i="2"/>
  <c r="AG152" i="2" s="1"/>
  <c r="Z152" i="2"/>
  <c r="Y152" i="2"/>
  <c r="X152" i="2"/>
  <c r="V152" i="2"/>
  <c r="U152" i="2"/>
  <c r="T152" i="2"/>
  <c r="S152" i="2"/>
  <c r="R152" i="2"/>
  <c r="Q152" i="2"/>
  <c r="P152" i="2"/>
  <c r="O152" i="2"/>
  <c r="N152" i="2"/>
  <c r="AF151" i="2"/>
  <c r="AE151" i="2"/>
  <c r="Z151" i="2"/>
  <c r="Y151" i="2"/>
  <c r="X151" i="2"/>
  <c r="V151" i="2"/>
  <c r="U151" i="2"/>
  <c r="T151" i="2"/>
  <c r="S151" i="2"/>
  <c r="R151" i="2"/>
  <c r="Q151" i="2"/>
  <c r="P151" i="2"/>
  <c r="O151" i="2"/>
  <c r="N151" i="2"/>
  <c r="W151" i="2" s="1"/>
  <c r="AF150" i="2"/>
  <c r="AG150" i="2" s="1"/>
  <c r="AE150" i="2"/>
  <c r="Z150" i="2"/>
  <c r="Y150" i="2"/>
  <c r="X150" i="2"/>
  <c r="V150" i="2"/>
  <c r="U150" i="2"/>
  <c r="T150" i="2"/>
  <c r="S150" i="2"/>
  <c r="R150" i="2"/>
  <c r="Q150" i="2"/>
  <c r="P150" i="2"/>
  <c r="O150" i="2"/>
  <c r="N150" i="2"/>
  <c r="AF149" i="2"/>
  <c r="AE149" i="2"/>
  <c r="Z149" i="2"/>
  <c r="Y149" i="2"/>
  <c r="X149" i="2"/>
  <c r="V149" i="2"/>
  <c r="U149" i="2"/>
  <c r="T149" i="2"/>
  <c r="S149" i="2"/>
  <c r="R149" i="2"/>
  <c r="Q149" i="2"/>
  <c r="P149" i="2"/>
  <c r="O149" i="2"/>
  <c r="N149" i="2"/>
  <c r="AF148" i="2"/>
  <c r="AE148" i="2"/>
  <c r="Z148" i="2"/>
  <c r="Y148" i="2"/>
  <c r="X148" i="2"/>
  <c r="V148" i="2"/>
  <c r="U148" i="2"/>
  <c r="W148" i="2" s="1"/>
  <c r="T148" i="2"/>
  <c r="S148" i="2"/>
  <c r="R148" i="2"/>
  <c r="Q148" i="2"/>
  <c r="P148" i="2"/>
  <c r="O148" i="2"/>
  <c r="N148" i="2"/>
  <c r="AF147" i="2"/>
  <c r="AE147" i="2"/>
  <c r="Z147" i="2"/>
  <c r="Y147" i="2"/>
  <c r="X147" i="2"/>
  <c r="V147" i="2"/>
  <c r="U147" i="2"/>
  <c r="T147" i="2"/>
  <c r="S147" i="2"/>
  <c r="R147" i="2"/>
  <c r="Q147" i="2"/>
  <c r="P147" i="2"/>
  <c r="O147" i="2"/>
  <c r="N147" i="2"/>
  <c r="W147" i="2" s="1"/>
  <c r="AF146" i="2"/>
  <c r="AG146" i="2" s="1"/>
  <c r="AH146" i="2" s="1"/>
  <c r="AE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AF145" i="2"/>
  <c r="AE145" i="2"/>
  <c r="AG145" i="2" s="1"/>
  <c r="Z145" i="2"/>
  <c r="Y145" i="2"/>
  <c r="X145" i="2"/>
  <c r="V145" i="2"/>
  <c r="U145" i="2"/>
  <c r="T145" i="2"/>
  <c r="S145" i="2"/>
  <c r="R145" i="2"/>
  <c r="Q145" i="2"/>
  <c r="P145" i="2"/>
  <c r="O145" i="2"/>
  <c r="W145" i="2" s="1"/>
  <c r="AH145" i="2" s="1"/>
  <c r="N145" i="2"/>
  <c r="AF144" i="2"/>
  <c r="AE144" i="2"/>
  <c r="AG144" i="2" s="1"/>
  <c r="Z144" i="2"/>
  <c r="Y144" i="2"/>
  <c r="X144" i="2"/>
  <c r="V144" i="2"/>
  <c r="U144" i="2"/>
  <c r="T144" i="2"/>
  <c r="S144" i="2"/>
  <c r="R144" i="2"/>
  <c r="Q144" i="2"/>
  <c r="P144" i="2"/>
  <c r="O144" i="2"/>
  <c r="N144" i="2"/>
  <c r="W144" i="2" s="1"/>
  <c r="AF143" i="2"/>
  <c r="AE143" i="2"/>
  <c r="Z143" i="2"/>
  <c r="Y143" i="2"/>
  <c r="X143" i="2"/>
  <c r="V143" i="2"/>
  <c r="U143" i="2"/>
  <c r="T143" i="2"/>
  <c r="S143" i="2"/>
  <c r="R143" i="2"/>
  <c r="Q143" i="2"/>
  <c r="W143" i="2" s="1"/>
  <c r="P143" i="2"/>
  <c r="O143" i="2"/>
  <c r="N143" i="2"/>
  <c r="AF142" i="2"/>
  <c r="AE142" i="2"/>
  <c r="AG142" i="2" s="1"/>
  <c r="Z142" i="2"/>
  <c r="Y142" i="2"/>
  <c r="X142" i="2"/>
  <c r="V142" i="2"/>
  <c r="U142" i="2"/>
  <c r="T142" i="2"/>
  <c r="S142" i="2"/>
  <c r="R142" i="2"/>
  <c r="Q142" i="2"/>
  <c r="P142" i="2"/>
  <c r="O142" i="2"/>
  <c r="N142" i="2"/>
  <c r="AF141" i="2"/>
  <c r="AE141" i="2"/>
  <c r="Z141" i="2"/>
  <c r="Y141" i="2"/>
  <c r="X141" i="2"/>
  <c r="V141" i="2"/>
  <c r="U141" i="2"/>
  <c r="W141" i="2" s="1"/>
  <c r="T141" i="2"/>
  <c r="S141" i="2"/>
  <c r="R141" i="2"/>
  <c r="Q141" i="2"/>
  <c r="P141" i="2"/>
  <c r="O141" i="2"/>
  <c r="N141" i="2"/>
  <c r="AF140" i="2"/>
  <c r="AE140" i="2"/>
  <c r="Z140" i="2"/>
  <c r="Y140" i="2"/>
  <c r="X140" i="2"/>
  <c r="V140" i="2"/>
  <c r="U140" i="2"/>
  <c r="T140" i="2"/>
  <c r="S140" i="2"/>
  <c r="R140" i="2"/>
  <c r="Q140" i="2"/>
  <c r="P140" i="2"/>
  <c r="O140" i="2"/>
  <c r="N140" i="2"/>
  <c r="W140" i="2" s="1"/>
  <c r="AF139" i="2"/>
  <c r="AE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AF138" i="2"/>
  <c r="AE138" i="2"/>
  <c r="AG138" i="2" s="1"/>
  <c r="Z138" i="2"/>
  <c r="Y138" i="2"/>
  <c r="X138" i="2"/>
  <c r="V138" i="2"/>
  <c r="U138" i="2"/>
  <c r="T138" i="2"/>
  <c r="S138" i="2"/>
  <c r="R138" i="2"/>
  <c r="Q138" i="2"/>
  <c r="P138" i="2"/>
  <c r="O138" i="2"/>
  <c r="W138" i="2" s="1"/>
  <c r="N138" i="2"/>
  <c r="AG137" i="2"/>
  <c r="AF137" i="2"/>
  <c r="AE137" i="2"/>
  <c r="Z137" i="2"/>
  <c r="Y137" i="2"/>
  <c r="X137" i="2"/>
  <c r="V137" i="2"/>
  <c r="U137" i="2"/>
  <c r="T137" i="2"/>
  <c r="S137" i="2"/>
  <c r="R137" i="2"/>
  <c r="Q137" i="2"/>
  <c r="P137" i="2"/>
  <c r="O137" i="2"/>
  <c r="N137" i="2"/>
  <c r="W137" i="2" s="1"/>
  <c r="AH137" i="2" s="1"/>
  <c r="AF136" i="2"/>
  <c r="AE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AF135" i="2"/>
  <c r="AE135" i="2"/>
  <c r="Z135" i="2"/>
  <c r="Y135" i="2"/>
  <c r="X135" i="2"/>
  <c r="V135" i="2"/>
  <c r="U135" i="2"/>
  <c r="T135" i="2"/>
  <c r="S135" i="2"/>
  <c r="R135" i="2"/>
  <c r="Q135" i="2"/>
  <c r="P135" i="2"/>
  <c r="O135" i="2"/>
  <c r="N135" i="2"/>
  <c r="W135" i="2" s="1"/>
  <c r="AF134" i="2"/>
  <c r="AE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AF133" i="2"/>
  <c r="AE133" i="2"/>
  <c r="AG133" i="2" s="1"/>
  <c r="Z133" i="2"/>
  <c r="Y133" i="2"/>
  <c r="X133" i="2"/>
  <c r="V133" i="2"/>
  <c r="U133" i="2"/>
  <c r="T133" i="2"/>
  <c r="S133" i="2"/>
  <c r="R133" i="2"/>
  <c r="Q133" i="2"/>
  <c r="P133" i="2"/>
  <c r="O133" i="2"/>
  <c r="N133" i="2"/>
  <c r="W133" i="2" s="1"/>
  <c r="AH133" i="2" s="1"/>
  <c r="AF132" i="2"/>
  <c r="AE132" i="2"/>
  <c r="AG132" i="2" s="1"/>
  <c r="Z132" i="2"/>
  <c r="Y132" i="2"/>
  <c r="X132" i="2"/>
  <c r="V132" i="2"/>
  <c r="U132" i="2"/>
  <c r="T132" i="2"/>
  <c r="S132" i="2"/>
  <c r="R132" i="2"/>
  <c r="Q132" i="2"/>
  <c r="P132" i="2"/>
  <c r="O132" i="2"/>
  <c r="N132" i="2"/>
  <c r="W132" i="2" s="1"/>
  <c r="AF131" i="2"/>
  <c r="AE131" i="2"/>
  <c r="AG131" i="2" s="1"/>
  <c r="Z131" i="2"/>
  <c r="Y131" i="2"/>
  <c r="X131" i="2"/>
  <c r="V131" i="2"/>
  <c r="U131" i="2"/>
  <c r="T131" i="2"/>
  <c r="W131" i="2" s="1"/>
  <c r="AH131" i="2" s="1"/>
  <c r="S131" i="2"/>
  <c r="R131" i="2"/>
  <c r="Q131" i="2"/>
  <c r="P131" i="2"/>
  <c r="O131" i="2"/>
  <c r="N131" i="2"/>
  <c r="AG130" i="2"/>
  <c r="AF130" i="2"/>
  <c r="AE130" i="2"/>
  <c r="Z130" i="2"/>
  <c r="Y130" i="2"/>
  <c r="X130" i="2"/>
  <c r="V130" i="2"/>
  <c r="U130" i="2"/>
  <c r="T130" i="2"/>
  <c r="S130" i="2"/>
  <c r="R130" i="2"/>
  <c r="Q130" i="2"/>
  <c r="P130" i="2"/>
  <c r="O130" i="2"/>
  <c r="N130" i="2"/>
  <c r="W130" i="2" s="1"/>
  <c r="AG129" i="2"/>
  <c r="AF129" i="2"/>
  <c r="AE129" i="2"/>
  <c r="Z129" i="2"/>
  <c r="Y129" i="2"/>
  <c r="X129" i="2"/>
  <c r="V129" i="2"/>
  <c r="U129" i="2"/>
  <c r="T129" i="2"/>
  <c r="S129" i="2"/>
  <c r="R129" i="2"/>
  <c r="Q129" i="2"/>
  <c r="P129" i="2"/>
  <c r="O129" i="2"/>
  <c r="N129" i="2"/>
  <c r="AF128" i="2"/>
  <c r="AE128" i="2"/>
  <c r="AG128" i="2" s="1"/>
  <c r="Z128" i="2"/>
  <c r="Y128" i="2"/>
  <c r="X128" i="2"/>
  <c r="V128" i="2"/>
  <c r="U128" i="2"/>
  <c r="T128" i="2"/>
  <c r="S128" i="2"/>
  <c r="R128" i="2"/>
  <c r="Q128" i="2"/>
  <c r="P128" i="2"/>
  <c r="O128" i="2"/>
  <c r="N128" i="2"/>
  <c r="AF127" i="2"/>
  <c r="AE127" i="2"/>
  <c r="Z127" i="2"/>
  <c r="Y127" i="2"/>
  <c r="X127" i="2"/>
  <c r="V127" i="2"/>
  <c r="U127" i="2"/>
  <c r="T127" i="2"/>
  <c r="S127" i="2"/>
  <c r="R127" i="2"/>
  <c r="Q127" i="2"/>
  <c r="P127" i="2"/>
  <c r="O127" i="2"/>
  <c r="N127" i="2"/>
  <c r="W127" i="2" s="1"/>
  <c r="AF126" i="2"/>
  <c r="AE126" i="2"/>
  <c r="Z126" i="2"/>
  <c r="Y126" i="2"/>
  <c r="X126" i="2"/>
  <c r="V126" i="2"/>
  <c r="U126" i="2"/>
  <c r="T126" i="2"/>
  <c r="W126" i="2" s="1"/>
  <c r="S126" i="2"/>
  <c r="R126" i="2"/>
  <c r="Q126" i="2"/>
  <c r="P126" i="2"/>
  <c r="O126" i="2"/>
  <c r="N126" i="2"/>
  <c r="AG125" i="2"/>
  <c r="AF125" i="2"/>
  <c r="AE125" i="2"/>
  <c r="Z125" i="2"/>
  <c r="Y125" i="2"/>
  <c r="X125" i="2"/>
  <c r="V125" i="2"/>
  <c r="U125" i="2"/>
  <c r="T125" i="2"/>
  <c r="S125" i="2"/>
  <c r="R125" i="2"/>
  <c r="Q125" i="2"/>
  <c r="P125" i="2"/>
  <c r="O125" i="2"/>
  <c r="N125" i="2"/>
  <c r="W125" i="2" s="1"/>
  <c r="AH125" i="2" s="1"/>
  <c r="AG124" i="2"/>
  <c r="AF124" i="2"/>
  <c r="AE124" i="2"/>
  <c r="Z124" i="2"/>
  <c r="Y124" i="2"/>
  <c r="X124" i="2"/>
  <c r="V124" i="2"/>
  <c r="U124" i="2"/>
  <c r="T124" i="2"/>
  <c r="S124" i="2"/>
  <c r="R124" i="2"/>
  <c r="Q124" i="2"/>
  <c r="P124" i="2"/>
  <c r="O124" i="2"/>
  <c r="N124" i="2"/>
  <c r="AF123" i="2"/>
  <c r="AE123" i="2"/>
  <c r="AG123" i="2" s="1"/>
  <c r="Z123" i="2"/>
  <c r="Y123" i="2"/>
  <c r="X123" i="2"/>
  <c r="V123" i="2"/>
  <c r="U123" i="2"/>
  <c r="T123" i="2"/>
  <c r="S123" i="2"/>
  <c r="R123" i="2"/>
  <c r="Q123" i="2"/>
  <c r="P123" i="2"/>
  <c r="O123" i="2"/>
  <c r="N123" i="2"/>
  <c r="W123" i="2" s="1"/>
  <c r="AH123" i="2" s="1"/>
  <c r="AF122" i="2"/>
  <c r="AG122" i="2" s="1"/>
  <c r="AE122" i="2"/>
  <c r="Z122" i="2"/>
  <c r="Y122" i="2"/>
  <c r="X122" i="2"/>
  <c r="V122" i="2"/>
  <c r="U122" i="2"/>
  <c r="T122" i="2"/>
  <c r="S122" i="2"/>
  <c r="R122" i="2"/>
  <c r="Q122" i="2"/>
  <c r="P122" i="2"/>
  <c r="O122" i="2"/>
  <c r="N122" i="2"/>
  <c r="AF121" i="2"/>
  <c r="AG121" i="2" s="1"/>
  <c r="AE121" i="2"/>
  <c r="Z121" i="2"/>
  <c r="Y121" i="2"/>
  <c r="X121" i="2"/>
  <c r="V121" i="2"/>
  <c r="U121" i="2"/>
  <c r="T121" i="2"/>
  <c r="S121" i="2"/>
  <c r="R121" i="2"/>
  <c r="Q121" i="2"/>
  <c r="P121" i="2"/>
  <c r="O121" i="2"/>
  <c r="N121" i="2"/>
  <c r="AF120" i="2"/>
  <c r="AE120" i="2"/>
  <c r="Z120" i="2"/>
  <c r="Y120" i="2"/>
  <c r="X120" i="2"/>
  <c r="V120" i="2"/>
  <c r="U120" i="2"/>
  <c r="T120" i="2"/>
  <c r="S120" i="2"/>
  <c r="R120" i="2"/>
  <c r="Q120" i="2"/>
  <c r="P120" i="2"/>
  <c r="O120" i="2"/>
  <c r="N120" i="2"/>
  <c r="W120" i="2" s="1"/>
  <c r="AF119" i="2"/>
  <c r="AE119" i="2"/>
  <c r="Z119" i="2"/>
  <c r="Y119" i="2"/>
  <c r="X119" i="2"/>
  <c r="V119" i="2"/>
  <c r="U119" i="2"/>
  <c r="T119" i="2"/>
  <c r="S119" i="2"/>
  <c r="R119" i="2"/>
  <c r="Q119" i="2"/>
  <c r="P119" i="2"/>
  <c r="O119" i="2"/>
  <c r="N119" i="2"/>
  <c r="W119" i="2" s="1"/>
  <c r="AF118" i="2"/>
  <c r="AE118" i="2"/>
  <c r="AG118" i="2" s="1"/>
  <c r="Z118" i="2"/>
  <c r="Y118" i="2"/>
  <c r="X118" i="2"/>
  <c r="V118" i="2"/>
  <c r="U118" i="2"/>
  <c r="T118" i="2"/>
  <c r="S118" i="2"/>
  <c r="R118" i="2"/>
  <c r="Q118" i="2"/>
  <c r="P118" i="2"/>
  <c r="W118" i="2" s="1"/>
  <c r="AH118" i="2" s="1"/>
  <c r="O118" i="2"/>
  <c r="N118" i="2"/>
  <c r="AF117" i="2"/>
  <c r="AE117" i="2"/>
  <c r="AG117" i="2" s="1"/>
  <c r="Z117" i="2"/>
  <c r="Y117" i="2"/>
  <c r="X117" i="2"/>
  <c r="V117" i="2"/>
  <c r="U117" i="2"/>
  <c r="T117" i="2"/>
  <c r="S117" i="2"/>
  <c r="W117" i="2" s="1"/>
  <c r="AH117" i="2" s="1"/>
  <c r="R117" i="2"/>
  <c r="Q117" i="2"/>
  <c r="P117" i="2"/>
  <c r="O117" i="2"/>
  <c r="N117" i="2"/>
  <c r="AF116" i="2"/>
  <c r="AE116" i="2"/>
  <c r="Z116" i="2"/>
  <c r="Y116" i="2"/>
  <c r="X116" i="2"/>
  <c r="V116" i="2"/>
  <c r="U116" i="2"/>
  <c r="T116" i="2"/>
  <c r="S116" i="2"/>
  <c r="R116" i="2"/>
  <c r="Q116" i="2"/>
  <c r="P116" i="2"/>
  <c r="O116" i="2"/>
  <c r="N116" i="2"/>
  <c r="W116" i="2" s="1"/>
  <c r="AF115" i="2"/>
  <c r="AE115" i="2"/>
  <c r="AG115" i="2" s="1"/>
  <c r="Z115" i="2"/>
  <c r="Y115" i="2"/>
  <c r="X115" i="2"/>
  <c r="V115" i="2"/>
  <c r="U115" i="2"/>
  <c r="T115" i="2"/>
  <c r="S115" i="2"/>
  <c r="R115" i="2"/>
  <c r="Q115" i="2"/>
  <c r="P115" i="2"/>
  <c r="O115" i="2"/>
  <c r="N115" i="2"/>
  <c r="W115" i="2" s="1"/>
  <c r="AF114" i="2"/>
  <c r="AE114" i="2"/>
  <c r="AG114" i="2" s="1"/>
  <c r="Z114" i="2"/>
  <c r="Y114" i="2"/>
  <c r="X114" i="2"/>
  <c r="V114" i="2"/>
  <c r="U114" i="2"/>
  <c r="T114" i="2"/>
  <c r="S114" i="2"/>
  <c r="R114" i="2"/>
  <c r="Q114" i="2"/>
  <c r="P114" i="2"/>
  <c r="O114" i="2"/>
  <c r="N114" i="2"/>
  <c r="AF113" i="2"/>
  <c r="AE113" i="2"/>
  <c r="Z113" i="2"/>
  <c r="Y113" i="2"/>
  <c r="X113" i="2"/>
  <c r="V113" i="2"/>
  <c r="U113" i="2"/>
  <c r="T113" i="2"/>
  <c r="S113" i="2"/>
  <c r="R113" i="2"/>
  <c r="Q113" i="2"/>
  <c r="P113" i="2"/>
  <c r="W113" i="2" s="1"/>
  <c r="O113" i="2"/>
  <c r="N113" i="2"/>
  <c r="AF112" i="2"/>
  <c r="AE112" i="2"/>
  <c r="Z112" i="2"/>
  <c r="Y112" i="2"/>
  <c r="X112" i="2"/>
  <c r="V112" i="2"/>
  <c r="U112" i="2"/>
  <c r="T112" i="2"/>
  <c r="S112" i="2"/>
  <c r="R112" i="2"/>
  <c r="W112" i="2" s="1"/>
  <c r="Q112" i="2"/>
  <c r="P112" i="2"/>
  <c r="O112" i="2"/>
  <c r="N112" i="2"/>
  <c r="AF111" i="2"/>
  <c r="AE111" i="2"/>
  <c r="AG111" i="2" s="1"/>
  <c r="Z111" i="2"/>
  <c r="Y111" i="2"/>
  <c r="X111" i="2"/>
  <c r="V111" i="2"/>
  <c r="U111" i="2"/>
  <c r="T111" i="2"/>
  <c r="S111" i="2"/>
  <c r="R111" i="2"/>
  <c r="Q111" i="2"/>
  <c r="P111" i="2"/>
  <c r="O111" i="2"/>
  <c r="W111" i="2" s="1"/>
  <c r="AH111" i="2" s="1"/>
  <c r="N111" i="2"/>
  <c r="AF110" i="2"/>
  <c r="AE110" i="2"/>
  <c r="AG110" i="2" s="1"/>
  <c r="Z110" i="2"/>
  <c r="Y110" i="2"/>
  <c r="X110" i="2"/>
  <c r="V110" i="2"/>
  <c r="U110" i="2"/>
  <c r="T110" i="2"/>
  <c r="S110" i="2"/>
  <c r="R110" i="2"/>
  <c r="Q110" i="2"/>
  <c r="P110" i="2"/>
  <c r="O110" i="2"/>
  <c r="W110" i="2" s="1"/>
  <c r="AH110" i="2" s="1"/>
  <c r="N110" i="2"/>
  <c r="AF109" i="2"/>
  <c r="AE109" i="2"/>
  <c r="Z109" i="2"/>
  <c r="Y109" i="2"/>
  <c r="X109" i="2"/>
  <c r="V109" i="2"/>
  <c r="U109" i="2"/>
  <c r="T109" i="2"/>
  <c r="S109" i="2"/>
  <c r="R109" i="2"/>
  <c r="Q109" i="2"/>
  <c r="P109" i="2"/>
  <c r="O109" i="2"/>
  <c r="N109" i="2"/>
  <c r="W109" i="2" s="1"/>
  <c r="AF108" i="2"/>
  <c r="AE108" i="2"/>
  <c r="Z108" i="2"/>
  <c r="Y108" i="2"/>
  <c r="X108" i="2"/>
  <c r="V108" i="2"/>
  <c r="U108" i="2"/>
  <c r="T108" i="2"/>
  <c r="S108" i="2"/>
  <c r="R108" i="2"/>
  <c r="Q108" i="2"/>
  <c r="P108" i="2"/>
  <c r="O108" i="2"/>
  <c r="N108" i="2"/>
  <c r="W108" i="2" s="1"/>
  <c r="AG107" i="2"/>
  <c r="AF107" i="2"/>
  <c r="AE107" i="2"/>
  <c r="Z107" i="2"/>
  <c r="Y107" i="2"/>
  <c r="X107" i="2"/>
  <c r="V107" i="2"/>
  <c r="U107" i="2"/>
  <c r="T107" i="2"/>
  <c r="S107" i="2"/>
  <c r="R107" i="2"/>
  <c r="W107" i="2" s="1"/>
  <c r="Q107" i="2"/>
  <c r="P107" i="2"/>
  <c r="O107" i="2"/>
  <c r="N107" i="2"/>
  <c r="AF106" i="2"/>
  <c r="AE106" i="2"/>
  <c r="AG106" i="2" s="1"/>
  <c r="Z106" i="2"/>
  <c r="Y106" i="2"/>
  <c r="X106" i="2"/>
  <c r="V106" i="2"/>
  <c r="U106" i="2"/>
  <c r="T106" i="2"/>
  <c r="S106" i="2"/>
  <c r="R106" i="2"/>
  <c r="Q106" i="2"/>
  <c r="P106" i="2"/>
  <c r="O106" i="2"/>
  <c r="N106" i="2"/>
  <c r="W106" i="2" s="1"/>
  <c r="AH106" i="2" s="1"/>
  <c r="AF105" i="2"/>
  <c r="AE105" i="2"/>
  <c r="AG105" i="2" s="1"/>
  <c r="Z105" i="2"/>
  <c r="Y105" i="2"/>
  <c r="X105" i="2"/>
  <c r="V105" i="2"/>
  <c r="U105" i="2"/>
  <c r="T105" i="2"/>
  <c r="S105" i="2"/>
  <c r="R105" i="2"/>
  <c r="Q105" i="2"/>
  <c r="P105" i="2"/>
  <c r="O105" i="2"/>
  <c r="N105" i="2"/>
  <c r="W105" i="2" s="1"/>
  <c r="AF104" i="2"/>
  <c r="AE104" i="2"/>
  <c r="AG104" i="2" s="1"/>
  <c r="Z104" i="2"/>
  <c r="Y104" i="2"/>
  <c r="X104" i="2"/>
  <c r="V104" i="2"/>
  <c r="U104" i="2"/>
  <c r="T104" i="2"/>
  <c r="S104" i="2"/>
  <c r="R104" i="2"/>
  <c r="Q104" i="2"/>
  <c r="P104" i="2"/>
  <c r="O104" i="2"/>
  <c r="N104" i="2"/>
  <c r="W104" i="2" s="1"/>
  <c r="AF103" i="2"/>
  <c r="AE103" i="2"/>
  <c r="Z103" i="2"/>
  <c r="Y103" i="2"/>
  <c r="X103" i="2"/>
  <c r="V103" i="2"/>
  <c r="U103" i="2"/>
  <c r="T103" i="2"/>
  <c r="S103" i="2"/>
  <c r="R103" i="2"/>
  <c r="Q103" i="2"/>
  <c r="P103" i="2"/>
  <c r="O103" i="2"/>
  <c r="W103" i="2" s="1"/>
  <c r="N103" i="2"/>
  <c r="AF102" i="2"/>
  <c r="AE102" i="2"/>
  <c r="AG102" i="2" s="1"/>
  <c r="Z102" i="2"/>
  <c r="Y102" i="2"/>
  <c r="X102" i="2"/>
  <c r="V102" i="2"/>
  <c r="U102" i="2"/>
  <c r="T102" i="2"/>
  <c r="S102" i="2"/>
  <c r="R102" i="2"/>
  <c r="Q102" i="2"/>
  <c r="W102" i="2" s="1"/>
  <c r="P102" i="2"/>
  <c r="O102" i="2"/>
  <c r="N102" i="2"/>
  <c r="AF101" i="2"/>
  <c r="AE101" i="2"/>
  <c r="Z101" i="2"/>
  <c r="Y101" i="2"/>
  <c r="X101" i="2"/>
  <c r="V101" i="2"/>
  <c r="U101" i="2"/>
  <c r="T101" i="2"/>
  <c r="S101" i="2"/>
  <c r="R101" i="2"/>
  <c r="Q101" i="2"/>
  <c r="P101" i="2"/>
  <c r="O101" i="2"/>
  <c r="N101" i="2"/>
  <c r="AF100" i="2"/>
  <c r="AE100" i="2"/>
  <c r="AG100" i="2" s="1"/>
  <c r="Z100" i="2"/>
  <c r="Y100" i="2"/>
  <c r="X100" i="2"/>
  <c r="V100" i="2"/>
  <c r="U100" i="2"/>
  <c r="T100" i="2"/>
  <c r="S100" i="2"/>
  <c r="R100" i="2"/>
  <c r="Q100" i="2"/>
  <c r="P100" i="2"/>
  <c r="O100" i="2"/>
  <c r="N100" i="2"/>
  <c r="W100" i="2" s="1"/>
  <c r="AF99" i="2"/>
  <c r="AE99" i="2"/>
  <c r="Z99" i="2"/>
  <c r="Y99" i="2"/>
  <c r="X99" i="2"/>
  <c r="V99" i="2"/>
  <c r="U99" i="2"/>
  <c r="T99" i="2"/>
  <c r="S99" i="2"/>
  <c r="R99" i="2"/>
  <c r="Q99" i="2"/>
  <c r="P99" i="2"/>
  <c r="O99" i="2"/>
  <c r="W99" i="2" s="1"/>
  <c r="N99" i="2"/>
  <c r="AF98" i="2"/>
  <c r="AE98" i="2"/>
  <c r="AG98" i="2" s="1"/>
  <c r="Z98" i="2"/>
  <c r="Y98" i="2"/>
  <c r="X98" i="2"/>
  <c r="V98" i="2"/>
  <c r="U98" i="2"/>
  <c r="T98" i="2"/>
  <c r="S98" i="2"/>
  <c r="R98" i="2"/>
  <c r="Q98" i="2"/>
  <c r="P98" i="2"/>
  <c r="O98" i="2"/>
  <c r="N98" i="2"/>
  <c r="W98" i="2" s="1"/>
  <c r="AF97" i="2"/>
  <c r="AE97" i="2"/>
  <c r="AG97" i="2" s="1"/>
  <c r="Z97" i="2"/>
  <c r="Y97" i="2"/>
  <c r="X97" i="2"/>
  <c r="V97" i="2"/>
  <c r="U97" i="2"/>
  <c r="T97" i="2"/>
  <c r="S97" i="2"/>
  <c r="R97" i="2"/>
  <c r="W97" i="2" s="1"/>
  <c r="Q97" i="2"/>
  <c r="P97" i="2"/>
  <c r="O97" i="2"/>
  <c r="N97" i="2"/>
  <c r="AF96" i="2"/>
  <c r="AE96" i="2"/>
  <c r="AG96" i="2" s="1"/>
  <c r="Z96" i="2"/>
  <c r="Y96" i="2"/>
  <c r="X96" i="2"/>
  <c r="V96" i="2"/>
  <c r="U96" i="2"/>
  <c r="T96" i="2"/>
  <c r="S96" i="2"/>
  <c r="R96" i="2"/>
  <c r="Q96" i="2"/>
  <c r="P96" i="2"/>
  <c r="O96" i="2"/>
  <c r="N96" i="2"/>
  <c r="AF95" i="2"/>
  <c r="AE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AF94" i="2"/>
  <c r="AE94" i="2"/>
  <c r="Z94" i="2"/>
  <c r="Y94" i="2"/>
  <c r="X94" i="2"/>
  <c r="V94" i="2"/>
  <c r="U94" i="2"/>
  <c r="T94" i="2"/>
  <c r="S94" i="2"/>
  <c r="R94" i="2"/>
  <c r="Q94" i="2"/>
  <c r="P94" i="2"/>
  <c r="O94" i="2"/>
  <c r="N94" i="2"/>
  <c r="W94" i="2" s="1"/>
  <c r="AF93" i="2"/>
  <c r="AE93" i="2"/>
  <c r="AG93" i="2" s="1"/>
  <c r="Z93" i="2"/>
  <c r="Y93" i="2"/>
  <c r="X93" i="2"/>
  <c r="V93" i="2"/>
  <c r="U93" i="2"/>
  <c r="T93" i="2"/>
  <c r="S93" i="2"/>
  <c r="R93" i="2"/>
  <c r="Q93" i="2"/>
  <c r="P93" i="2"/>
  <c r="O93" i="2"/>
  <c r="N93" i="2"/>
  <c r="AF92" i="2"/>
  <c r="AG92" i="2" s="1"/>
  <c r="AE92" i="2"/>
  <c r="Z92" i="2"/>
  <c r="Y92" i="2"/>
  <c r="X92" i="2"/>
  <c r="V92" i="2"/>
  <c r="U92" i="2"/>
  <c r="T92" i="2"/>
  <c r="S92" i="2"/>
  <c r="R92" i="2"/>
  <c r="Q92" i="2"/>
  <c r="P92" i="2"/>
  <c r="O92" i="2"/>
  <c r="N92" i="2"/>
  <c r="W92" i="2" s="1"/>
  <c r="AH92" i="2" s="1"/>
  <c r="AF91" i="2"/>
  <c r="AE91" i="2"/>
  <c r="Z91" i="2"/>
  <c r="Y91" i="2"/>
  <c r="X91" i="2"/>
  <c r="V91" i="2"/>
  <c r="U91" i="2"/>
  <c r="T91" i="2"/>
  <c r="S91" i="2"/>
  <c r="R91" i="2"/>
  <c r="Q91" i="2"/>
  <c r="P91" i="2"/>
  <c r="O91" i="2"/>
  <c r="N91" i="2"/>
  <c r="W91" i="2" s="1"/>
  <c r="AG90" i="2"/>
  <c r="AF90" i="2"/>
  <c r="AE90" i="2"/>
  <c r="Z90" i="2"/>
  <c r="Y90" i="2"/>
  <c r="X90" i="2"/>
  <c r="V90" i="2"/>
  <c r="U90" i="2"/>
  <c r="W90" i="2" s="1"/>
  <c r="AH90" i="2" s="1"/>
  <c r="T90" i="2"/>
  <c r="S90" i="2"/>
  <c r="R90" i="2"/>
  <c r="Q90" i="2"/>
  <c r="P90" i="2"/>
  <c r="O90" i="2"/>
  <c r="N90" i="2"/>
  <c r="AF89" i="2"/>
  <c r="AE89" i="2"/>
  <c r="AG89" i="2" s="1"/>
  <c r="Z89" i="2"/>
  <c r="Y89" i="2"/>
  <c r="X89" i="2"/>
  <c r="V89" i="2"/>
  <c r="U89" i="2"/>
  <c r="T89" i="2"/>
  <c r="S89" i="2"/>
  <c r="R89" i="2"/>
  <c r="Q89" i="2"/>
  <c r="P89" i="2"/>
  <c r="O89" i="2"/>
  <c r="N89" i="2"/>
  <c r="W89" i="2" s="1"/>
  <c r="AF88" i="2"/>
  <c r="AE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F87" i="2"/>
  <c r="AE87" i="2"/>
  <c r="AG87" i="2" s="1"/>
  <c r="Z87" i="2"/>
  <c r="Y87" i="2"/>
  <c r="X87" i="2"/>
  <c r="V87" i="2"/>
  <c r="U87" i="2"/>
  <c r="T87" i="2"/>
  <c r="S87" i="2"/>
  <c r="R87" i="2"/>
  <c r="Q87" i="2"/>
  <c r="P87" i="2"/>
  <c r="O87" i="2"/>
  <c r="N87" i="2"/>
  <c r="W87" i="2" s="1"/>
  <c r="AF86" i="2"/>
  <c r="AE86" i="2"/>
  <c r="Z86" i="2"/>
  <c r="Y86" i="2"/>
  <c r="X86" i="2"/>
  <c r="V86" i="2"/>
  <c r="U86" i="2"/>
  <c r="T86" i="2"/>
  <c r="S86" i="2"/>
  <c r="R86" i="2"/>
  <c r="Q86" i="2"/>
  <c r="P86" i="2"/>
  <c r="O86" i="2"/>
  <c r="N86" i="2"/>
  <c r="AF85" i="2"/>
  <c r="AE85" i="2"/>
  <c r="Z85" i="2"/>
  <c r="Y85" i="2"/>
  <c r="X85" i="2"/>
  <c r="V85" i="2"/>
  <c r="U85" i="2"/>
  <c r="T85" i="2"/>
  <c r="S85" i="2"/>
  <c r="R85" i="2"/>
  <c r="Q85" i="2"/>
  <c r="P85" i="2"/>
  <c r="W85" i="2" s="1"/>
  <c r="O85" i="2"/>
  <c r="N85" i="2"/>
  <c r="AF84" i="2"/>
  <c r="AE84" i="2"/>
  <c r="Z84" i="2"/>
  <c r="Y84" i="2"/>
  <c r="X84" i="2"/>
  <c r="V84" i="2"/>
  <c r="U84" i="2"/>
  <c r="T84" i="2"/>
  <c r="S84" i="2"/>
  <c r="R84" i="2"/>
  <c r="Q84" i="2"/>
  <c r="P84" i="2"/>
  <c r="O84" i="2"/>
  <c r="N84" i="2"/>
  <c r="W84" i="2" s="1"/>
  <c r="AF83" i="2"/>
  <c r="AE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AF82" i="2"/>
  <c r="AE82" i="2"/>
  <c r="AG82" i="2" s="1"/>
  <c r="Z82" i="2"/>
  <c r="Y82" i="2"/>
  <c r="X82" i="2"/>
  <c r="V82" i="2"/>
  <c r="U82" i="2"/>
  <c r="T82" i="2"/>
  <c r="S82" i="2"/>
  <c r="R82" i="2"/>
  <c r="Q82" i="2"/>
  <c r="P82" i="2"/>
  <c r="O82" i="2"/>
  <c r="W82" i="2" s="1"/>
  <c r="AH82" i="2" s="1"/>
  <c r="N82" i="2"/>
  <c r="AG81" i="2"/>
  <c r="AF81" i="2"/>
  <c r="AE81" i="2"/>
  <c r="Z81" i="2"/>
  <c r="Y81" i="2"/>
  <c r="X81" i="2"/>
  <c r="V81" i="2"/>
  <c r="U81" i="2"/>
  <c r="T81" i="2"/>
  <c r="S81" i="2"/>
  <c r="R81" i="2"/>
  <c r="Q81" i="2"/>
  <c r="P81" i="2"/>
  <c r="O81" i="2"/>
  <c r="N81" i="2"/>
  <c r="W81" i="2" s="1"/>
  <c r="AF80" i="2"/>
  <c r="AG80" i="2" s="1"/>
  <c r="AE80" i="2"/>
  <c r="Z80" i="2"/>
  <c r="Y80" i="2"/>
  <c r="X80" i="2"/>
  <c r="V80" i="2"/>
  <c r="U80" i="2"/>
  <c r="T80" i="2"/>
  <c r="S80" i="2"/>
  <c r="R80" i="2"/>
  <c r="W80" i="2" s="1"/>
  <c r="AH80" i="2" s="1"/>
  <c r="Q80" i="2"/>
  <c r="P80" i="2"/>
  <c r="O80" i="2"/>
  <c r="N80" i="2"/>
  <c r="AF79" i="2"/>
  <c r="AE79" i="2"/>
  <c r="AG79" i="2" s="1"/>
  <c r="Z79" i="2"/>
  <c r="Y79" i="2"/>
  <c r="X79" i="2"/>
  <c r="V79" i="2"/>
  <c r="U79" i="2"/>
  <c r="T79" i="2"/>
  <c r="S79" i="2"/>
  <c r="R79" i="2"/>
  <c r="Q79" i="2"/>
  <c r="P79" i="2"/>
  <c r="O79" i="2"/>
  <c r="N79" i="2"/>
  <c r="W79" i="2" s="1"/>
  <c r="AF78" i="2"/>
  <c r="AE78" i="2"/>
  <c r="Z78" i="2"/>
  <c r="Y78" i="2"/>
  <c r="X78" i="2"/>
  <c r="V78" i="2"/>
  <c r="U78" i="2"/>
  <c r="T78" i="2"/>
  <c r="W78" i="2" s="1"/>
  <c r="S78" i="2"/>
  <c r="R78" i="2"/>
  <c r="Q78" i="2"/>
  <c r="P78" i="2"/>
  <c r="O78" i="2"/>
  <c r="N78" i="2"/>
  <c r="AF77" i="2"/>
  <c r="AE77" i="2"/>
  <c r="AG77" i="2" s="1"/>
  <c r="Z77" i="2"/>
  <c r="Y77" i="2"/>
  <c r="X77" i="2"/>
  <c r="V77" i="2"/>
  <c r="U77" i="2"/>
  <c r="T77" i="2"/>
  <c r="S77" i="2"/>
  <c r="R77" i="2"/>
  <c r="Q77" i="2"/>
  <c r="P77" i="2"/>
  <c r="O77" i="2"/>
  <c r="N77" i="2"/>
  <c r="W77" i="2" s="1"/>
  <c r="AH77" i="2" s="1"/>
  <c r="AG76" i="2"/>
  <c r="AF76" i="2"/>
  <c r="AE76" i="2"/>
  <c r="Z76" i="2"/>
  <c r="Y76" i="2"/>
  <c r="X76" i="2"/>
  <c r="V76" i="2"/>
  <c r="U76" i="2"/>
  <c r="T76" i="2"/>
  <c r="S76" i="2"/>
  <c r="R76" i="2"/>
  <c r="Q76" i="2"/>
  <c r="P76" i="2"/>
  <c r="O76" i="2"/>
  <c r="N76" i="2"/>
  <c r="W76" i="2" s="1"/>
  <c r="AF75" i="2"/>
  <c r="AE75" i="2"/>
  <c r="Z75" i="2"/>
  <c r="Y75" i="2"/>
  <c r="X75" i="2"/>
  <c r="V75" i="2"/>
  <c r="U75" i="2"/>
  <c r="T75" i="2"/>
  <c r="S75" i="2"/>
  <c r="R75" i="2"/>
  <c r="Q75" i="2"/>
  <c r="P75" i="2"/>
  <c r="O75" i="2"/>
  <c r="W75" i="2" s="1"/>
  <c r="N75" i="2"/>
  <c r="AF74" i="2"/>
  <c r="AG74" i="2" s="1"/>
  <c r="AE74" i="2"/>
  <c r="Z74" i="2"/>
  <c r="Y74" i="2"/>
  <c r="X74" i="2"/>
  <c r="V74" i="2"/>
  <c r="U74" i="2"/>
  <c r="T74" i="2"/>
  <c r="S74" i="2"/>
  <c r="R74" i="2"/>
  <c r="Q74" i="2"/>
  <c r="P74" i="2"/>
  <c r="O74" i="2"/>
  <c r="N74" i="2"/>
  <c r="W74" i="2" s="1"/>
  <c r="AF73" i="2"/>
  <c r="AE73" i="2"/>
  <c r="Z73" i="2"/>
  <c r="Y73" i="2"/>
  <c r="X73" i="2"/>
  <c r="V73" i="2"/>
  <c r="U73" i="2"/>
  <c r="T73" i="2"/>
  <c r="S73" i="2"/>
  <c r="R73" i="2"/>
  <c r="Q73" i="2"/>
  <c r="P73" i="2"/>
  <c r="O73" i="2"/>
  <c r="N73" i="2"/>
  <c r="AF72" i="2"/>
  <c r="AE72" i="2"/>
  <c r="AG72" i="2" s="1"/>
  <c r="Z72" i="2"/>
  <c r="Y72" i="2"/>
  <c r="X72" i="2"/>
  <c r="V72" i="2"/>
  <c r="U72" i="2"/>
  <c r="T72" i="2"/>
  <c r="S72" i="2"/>
  <c r="R72" i="2"/>
  <c r="Q72" i="2"/>
  <c r="P72" i="2"/>
  <c r="O72" i="2"/>
  <c r="N72" i="2"/>
  <c r="W72" i="2" s="1"/>
  <c r="AF71" i="2"/>
  <c r="AE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AF70" i="2"/>
  <c r="AE70" i="2"/>
  <c r="AG70" i="2" s="1"/>
  <c r="Z70" i="2"/>
  <c r="Y70" i="2"/>
  <c r="X70" i="2"/>
  <c r="V70" i="2"/>
  <c r="U70" i="2"/>
  <c r="T70" i="2"/>
  <c r="S70" i="2"/>
  <c r="R70" i="2"/>
  <c r="Q70" i="2"/>
  <c r="P70" i="2"/>
  <c r="O70" i="2"/>
  <c r="N70" i="2"/>
  <c r="W70" i="2" s="1"/>
  <c r="AF69" i="2"/>
  <c r="AE69" i="2"/>
  <c r="AG69" i="2" s="1"/>
  <c r="Z69" i="2"/>
  <c r="Y69" i="2"/>
  <c r="X69" i="2"/>
  <c r="V69" i="2"/>
  <c r="U69" i="2"/>
  <c r="T69" i="2"/>
  <c r="S69" i="2"/>
  <c r="R69" i="2"/>
  <c r="Q69" i="2"/>
  <c r="P69" i="2"/>
  <c r="O69" i="2"/>
  <c r="N69" i="2"/>
  <c r="W69" i="2" s="1"/>
  <c r="AF68" i="2"/>
  <c r="AE68" i="2"/>
  <c r="AG68" i="2" s="1"/>
  <c r="Z68" i="2"/>
  <c r="Y68" i="2"/>
  <c r="X68" i="2"/>
  <c r="V68" i="2"/>
  <c r="U68" i="2"/>
  <c r="T68" i="2"/>
  <c r="S68" i="2"/>
  <c r="R68" i="2"/>
  <c r="Q68" i="2"/>
  <c r="P68" i="2"/>
  <c r="O68" i="2"/>
  <c r="N68" i="2"/>
  <c r="AF67" i="2"/>
  <c r="AE67" i="2"/>
  <c r="Z67" i="2"/>
  <c r="Y67" i="2"/>
  <c r="X67" i="2"/>
  <c r="V67" i="2"/>
  <c r="U67" i="2"/>
  <c r="T67" i="2"/>
  <c r="S67" i="2"/>
  <c r="R67" i="2"/>
  <c r="Q67" i="2"/>
  <c r="P67" i="2"/>
  <c r="O67" i="2"/>
  <c r="N67" i="2"/>
  <c r="W67" i="2" s="1"/>
  <c r="AF66" i="2"/>
  <c r="AE66" i="2"/>
  <c r="Z66" i="2"/>
  <c r="Y66" i="2"/>
  <c r="X66" i="2"/>
  <c r="V66" i="2"/>
  <c r="U66" i="2"/>
  <c r="T66" i="2"/>
  <c r="S66" i="2"/>
  <c r="R66" i="2"/>
  <c r="Q66" i="2"/>
  <c r="P66" i="2"/>
  <c r="O66" i="2"/>
  <c r="N66" i="2"/>
  <c r="AF65" i="2"/>
  <c r="AE65" i="2"/>
  <c r="AG65" i="2" s="1"/>
  <c r="Z65" i="2"/>
  <c r="Y65" i="2"/>
  <c r="X65" i="2"/>
  <c r="V65" i="2"/>
  <c r="U65" i="2"/>
  <c r="T65" i="2"/>
  <c r="S65" i="2"/>
  <c r="R65" i="2"/>
  <c r="Q65" i="2"/>
  <c r="P65" i="2"/>
  <c r="O65" i="2"/>
  <c r="N65" i="2"/>
  <c r="AF64" i="2"/>
  <c r="AE64" i="2"/>
  <c r="Z64" i="2"/>
  <c r="Y64" i="2"/>
  <c r="X64" i="2"/>
  <c r="V64" i="2"/>
  <c r="U64" i="2"/>
  <c r="T64" i="2"/>
  <c r="S64" i="2"/>
  <c r="R64" i="2"/>
  <c r="Q64" i="2"/>
  <c r="P64" i="2"/>
  <c r="O64" i="2"/>
  <c r="N64" i="2"/>
  <c r="W64" i="2" s="1"/>
  <c r="AF63" i="2"/>
  <c r="AE63" i="2"/>
  <c r="Z63" i="2"/>
  <c r="Y63" i="2"/>
  <c r="X63" i="2"/>
  <c r="V63" i="2"/>
  <c r="U63" i="2"/>
  <c r="T63" i="2"/>
  <c r="S63" i="2"/>
  <c r="R63" i="2"/>
  <c r="Q63" i="2"/>
  <c r="P63" i="2"/>
  <c r="O63" i="2"/>
  <c r="N63" i="2"/>
  <c r="W63" i="2" s="1"/>
  <c r="AF62" i="2"/>
  <c r="AE62" i="2"/>
  <c r="AG62" i="2" s="1"/>
  <c r="Z62" i="2"/>
  <c r="Y62" i="2"/>
  <c r="X62" i="2"/>
  <c r="V62" i="2"/>
  <c r="U62" i="2"/>
  <c r="T62" i="2"/>
  <c r="S62" i="2"/>
  <c r="R62" i="2"/>
  <c r="Q62" i="2"/>
  <c r="P62" i="2"/>
  <c r="O62" i="2"/>
  <c r="W62" i="2" s="1"/>
  <c r="N62" i="2"/>
  <c r="AF61" i="2"/>
  <c r="AE61" i="2"/>
  <c r="AG61" i="2" s="1"/>
  <c r="Z61" i="2"/>
  <c r="Y61" i="2"/>
  <c r="X61" i="2"/>
  <c r="V61" i="2"/>
  <c r="U61" i="2"/>
  <c r="T61" i="2"/>
  <c r="S61" i="2"/>
  <c r="R61" i="2"/>
  <c r="Q61" i="2"/>
  <c r="P61" i="2"/>
  <c r="O61" i="2"/>
  <c r="N61" i="2"/>
  <c r="AF60" i="2"/>
  <c r="AE60" i="2"/>
  <c r="Z60" i="2"/>
  <c r="Y60" i="2"/>
  <c r="X60" i="2"/>
  <c r="V60" i="2"/>
  <c r="U60" i="2"/>
  <c r="T60" i="2"/>
  <c r="S60" i="2"/>
  <c r="R60" i="2"/>
  <c r="Q60" i="2"/>
  <c r="P60" i="2"/>
  <c r="O60" i="2"/>
  <c r="N60" i="2"/>
  <c r="W60" i="2" s="1"/>
  <c r="AF59" i="2"/>
  <c r="AE59" i="2"/>
  <c r="AG59" i="2" s="1"/>
  <c r="Z59" i="2"/>
  <c r="Y59" i="2"/>
  <c r="X59" i="2"/>
  <c r="V59" i="2"/>
  <c r="U59" i="2"/>
  <c r="T59" i="2"/>
  <c r="S59" i="2"/>
  <c r="R59" i="2"/>
  <c r="Q59" i="2"/>
  <c r="P59" i="2"/>
  <c r="O59" i="2"/>
  <c r="N59" i="2"/>
  <c r="W59" i="2" s="1"/>
  <c r="AH59" i="2" s="1"/>
  <c r="AF58" i="2"/>
  <c r="AE58" i="2"/>
  <c r="AG58" i="2" s="1"/>
  <c r="Z58" i="2"/>
  <c r="Y58" i="2"/>
  <c r="X58" i="2"/>
  <c r="V58" i="2"/>
  <c r="U58" i="2"/>
  <c r="T58" i="2"/>
  <c r="S58" i="2"/>
  <c r="R58" i="2"/>
  <c r="Q58" i="2"/>
  <c r="P58" i="2"/>
  <c r="O58" i="2"/>
  <c r="N58" i="2"/>
  <c r="W58" i="2" s="1"/>
  <c r="AF57" i="2"/>
  <c r="AG57" i="2" s="1"/>
  <c r="AE57" i="2"/>
  <c r="Z57" i="2"/>
  <c r="Y57" i="2"/>
  <c r="X57" i="2"/>
  <c r="V57" i="2"/>
  <c r="U57" i="2"/>
  <c r="T57" i="2"/>
  <c r="S57" i="2"/>
  <c r="R57" i="2"/>
  <c r="Q57" i="2"/>
  <c r="W57" i="2" s="1"/>
  <c r="AH57" i="2" s="1"/>
  <c r="P57" i="2"/>
  <c r="O57" i="2"/>
  <c r="N57" i="2"/>
  <c r="AF56" i="2"/>
  <c r="AE56" i="2"/>
  <c r="Z56" i="2"/>
  <c r="Y56" i="2"/>
  <c r="X56" i="2"/>
  <c r="V56" i="2"/>
  <c r="U56" i="2"/>
  <c r="T56" i="2"/>
  <c r="S56" i="2"/>
  <c r="R56" i="2"/>
  <c r="Q56" i="2"/>
  <c r="P56" i="2"/>
  <c r="O56" i="2"/>
  <c r="N56" i="2"/>
  <c r="W56" i="2" s="1"/>
  <c r="AF55" i="2"/>
  <c r="AE55" i="2"/>
  <c r="AG55" i="2" s="1"/>
  <c r="Z55" i="2"/>
  <c r="Y55" i="2"/>
  <c r="X55" i="2"/>
  <c r="V55" i="2"/>
  <c r="U55" i="2"/>
  <c r="T55" i="2"/>
  <c r="S55" i="2"/>
  <c r="R55" i="2"/>
  <c r="Q55" i="2"/>
  <c r="P55" i="2"/>
  <c r="W55" i="2" s="1"/>
  <c r="AH55" i="2" s="1"/>
  <c r="O55" i="2"/>
  <c r="N55" i="2"/>
  <c r="AF54" i="2"/>
  <c r="AE54" i="2"/>
  <c r="Z54" i="2"/>
  <c r="Y54" i="2"/>
  <c r="X54" i="2"/>
  <c r="V54" i="2"/>
  <c r="U54" i="2"/>
  <c r="T54" i="2"/>
  <c r="S54" i="2"/>
  <c r="R54" i="2"/>
  <c r="Q54" i="2"/>
  <c r="P54" i="2"/>
  <c r="O54" i="2"/>
  <c r="N54" i="2"/>
  <c r="AF53" i="2"/>
  <c r="AE53" i="2"/>
  <c r="AG53" i="2" s="1"/>
  <c r="Z53" i="2"/>
  <c r="Y53" i="2"/>
  <c r="X53" i="2"/>
  <c r="V53" i="2"/>
  <c r="U53" i="2"/>
  <c r="T53" i="2"/>
  <c r="S53" i="2"/>
  <c r="R53" i="2"/>
  <c r="Q53" i="2"/>
  <c r="P53" i="2"/>
  <c r="O53" i="2"/>
  <c r="N53" i="2"/>
  <c r="W53" i="2" s="1"/>
  <c r="AF52" i="2"/>
  <c r="AE52" i="2"/>
  <c r="Z52" i="2"/>
  <c r="Y52" i="2"/>
  <c r="X52" i="2"/>
  <c r="V52" i="2"/>
  <c r="U52" i="2"/>
  <c r="T52" i="2"/>
  <c r="S52" i="2"/>
  <c r="R52" i="2"/>
  <c r="Q52" i="2"/>
  <c r="P52" i="2"/>
  <c r="O52" i="2"/>
  <c r="N52" i="2"/>
  <c r="W52" i="2" s="1"/>
  <c r="AF51" i="2"/>
  <c r="AE51" i="2"/>
  <c r="Z51" i="2"/>
  <c r="Y51" i="2"/>
  <c r="X51" i="2"/>
  <c r="V51" i="2"/>
  <c r="U51" i="2"/>
  <c r="T51" i="2"/>
  <c r="S51" i="2"/>
  <c r="R51" i="2"/>
  <c r="Q51" i="2"/>
  <c r="P51" i="2"/>
  <c r="O51" i="2"/>
  <c r="N51" i="2"/>
  <c r="W51" i="2" s="1"/>
  <c r="AF50" i="2"/>
  <c r="AE50" i="2"/>
  <c r="AG50" i="2" s="1"/>
  <c r="Z50" i="2"/>
  <c r="Y50" i="2"/>
  <c r="X50" i="2"/>
  <c r="V50" i="2"/>
  <c r="U50" i="2"/>
  <c r="T50" i="2"/>
  <c r="S50" i="2"/>
  <c r="R50" i="2"/>
  <c r="Q50" i="2"/>
  <c r="P50" i="2"/>
  <c r="W50" i="2" s="1"/>
  <c r="O50" i="2"/>
  <c r="N50" i="2"/>
  <c r="AF49" i="2"/>
  <c r="AE49" i="2"/>
  <c r="Z49" i="2"/>
  <c r="Y49" i="2"/>
  <c r="X49" i="2"/>
  <c r="V49" i="2"/>
  <c r="U49" i="2"/>
  <c r="T49" i="2"/>
  <c r="W49" i="2" s="1"/>
  <c r="S49" i="2"/>
  <c r="R49" i="2"/>
  <c r="Q49" i="2"/>
  <c r="P49" i="2"/>
  <c r="O49" i="2"/>
  <c r="N49" i="2"/>
  <c r="AF48" i="2"/>
  <c r="AE48" i="2"/>
  <c r="AG48" i="2" s="1"/>
  <c r="Z48" i="2"/>
  <c r="Y48" i="2"/>
  <c r="X48" i="2"/>
  <c r="V48" i="2"/>
  <c r="U48" i="2"/>
  <c r="T48" i="2"/>
  <c r="S48" i="2"/>
  <c r="R48" i="2"/>
  <c r="Q48" i="2"/>
  <c r="P48" i="2"/>
  <c r="O48" i="2"/>
  <c r="N48" i="2"/>
  <c r="W48" i="2" s="1"/>
  <c r="AF47" i="2"/>
  <c r="AG47" i="2" s="1"/>
  <c r="AE47" i="2"/>
  <c r="Z47" i="2"/>
  <c r="Y47" i="2"/>
  <c r="X47" i="2"/>
  <c r="V47" i="2"/>
  <c r="U47" i="2"/>
  <c r="T47" i="2"/>
  <c r="S47" i="2"/>
  <c r="R47" i="2"/>
  <c r="Q47" i="2"/>
  <c r="P47" i="2"/>
  <c r="O47" i="2"/>
  <c r="W47" i="2" s="1"/>
  <c r="AH47" i="2" s="1"/>
  <c r="N47" i="2"/>
  <c r="AF46" i="2"/>
  <c r="AE46" i="2"/>
  <c r="Z46" i="2"/>
  <c r="Y46" i="2"/>
  <c r="X46" i="2"/>
  <c r="V46" i="2"/>
  <c r="U46" i="2"/>
  <c r="T46" i="2"/>
  <c r="S46" i="2"/>
  <c r="R46" i="2"/>
  <c r="Q46" i="2"/>
  <c r="P46" i="2"/>
  <c r="O46" i="2"/>
  <c r="N46" i="2"/>
  <c r="AF45" i="2"/>
  <c r="AG45" i="2" s="1"/>
  <c r="AE45" i="2"/>
  <c r="Z45" i="2"/>
  <c r="Y45" i="2"/>
  <c r="X45" i="2"/>
  <c r="V45" i="2"/>
  <c r="U45" i="2"/>
  <c r="T45" i="2"/>
  <c r="S45" i="2"/>
  <c r="R45" i="2"/>
  <c r="Q45" i="2"/>
  <c r="P45" i="2"/>
  <c r="O45" i="2"/>
  <c r="N45" i="2"/>
  <c r="AF44" i="2"/>
  <c r="AE44" i="2"/>
  <c r="Z44" i="2"/>
  <c r="Y44" i="2"/>
  <c r="X44" i="2"/>
  <c r="V44" i="2"/>
  <c r="U44" i="2"/>
  <c r="T44" i="2"/>
  <c r="S44" i="2"/>
  <c r="R44" i="2"/>
  <c r="Q44" i="2"/>
  <c r="P44" i="2"/>
  <c r="O44" i="2"/>
  <c r="N44" i="2"/>
  <c r="AF43" i="2"/>
  <c r="AG43" i="2" s="1"/>
  <c r="AE43" i="2"/>
  <c r="Z43" i="2"/>
  <c r="Y43" i="2"/>
  <c r="X43" i="2"/>
  <c r="V43" i="2"/>
  <c r="U43" i="2"/>
  <c r="T43" i="2"/>
  <c r="S43" i="2"/>
  <c r="R43" i="2"/>
  <c r="Q43" i="2"/>
  <c r="P43" i="2"/>
  <c r="O43" i="2"/>
  <c r="N43" i="2"/>
  <c r="W43" i="2" s="1"/>
  <c r="AH43" i="2" s="1"/>
  <c r="AF42" i="2"/>
  <c r="AE42" i="2"/>
  <c r="Z42" i="2"/>
  <c r="Y42" i="2"/>
  <c r="X42" i="2"/>
  <c r="V42" i="2"/>
  <c r="U42" i="2"/>
  <c r="T42" i="2"/>
  <c r="S42" i="2"/>
  <c r="R42" i="2"/>
  <c r="Q42" i="2"/>
  <c r="P42" i="2"/>
  <c r="O42" i="2"/>
  <c r="N42" i="2"/>
  <c r="W42" i="2" s="1"/>
  <c r="AF41" i="2"/>
  <c r="AE41" i="2"/>
  <c r="AG41" i="2" s="1"/>
  <c r="Z41" i="2"/>
  <c r="Y41" i="2"/>
  <c r="X41" i="2"/>
  <c r="V41" i="2"/>
  <c r="U41" i="2"/>
  <c r="T41" i="2"/>
  <c r="S41" i="2"/>
  <c r="R41" i="2"/>
  <c r="Q41" i="2"/>
  <c r="P41" i="2"/>
  <c r="O41" i="2"/>
  <c r="N41" i="2"/>
  <c r="AF40" i="2"/>
  <c r="AE40" i="2"/>
  <c r="AG40" i="2" s="1"/>
  <c r="Z40" i="2"/>
  <c r="Y40" i="2"/>
  <c r="X40" i="2"/>
  <c r="V40" i="2"/>
  <c r="U40" i="2"/>
  <c r="T40" i="2"/>
  <c r="S40" i="2"/>
  <c r="R40" i="2"/>
  <c r="Q40" i="2"/>
  <c r="P40" i="2"/>
  <c r="O40" i="2"/>
  <c r="N40" i="2"/>
  <c r="AF39" i="2"/>
  <c r="AG39" i="2" s="1"/>
  <c r="AE39" i="2"/>
  <c r="Z39" i="2"/>
  <c r="Y39" i="2"/>
  <c r="X39" i="2"/>
  <c r="V39" i="2"/>
  <c r="U39" i="2"/>
  <c r="T39" i="2"/>
  <c r="S39" i="2"/>
  <c r="R39" i="2"/>
  <c r="Q39" i="2"/>
  <c r="P39" i="2"/>
  <c r="O39" i="2"/>
  <c r="N39" i="2"/>
  <c r="AF38" i="2"/>
  <c r="AE38" i="2"/>
  <c r="Z38" i="2"/>
  <c r="Y38" i="2"/>
  <c r="X38" i="2"/>
  <c r="V38" i="2"/>
  <c r="U38" i="2"/>
  <c r="T38" i="2"/>
  <c r="S38" i="2"/>
  <c r="R38" i="2"/>
  <c r="Q38" i="2"/>
  <c r="P38" i="2"/>
  <c r="O38" i="2"/>
  <c r="N38" i="2"/>
  <c r="AF37" i="2"/>
  <c r="AE37" i="2"/>
  <c r="AG37" i="2" s="1"/>
  <c r="Z37" i="2"/>
  <c r="Y37" i="2"/>
  <c r="X37" i="2"/>
  <c r="V37" i="2"/>
  <c r="U37" i="2"/>
  <c r="T37" i="2"/>
  <c r="S37" i="2"/>
  <c r="R37" i="2"/>
  <c r="Q37" i="2"/>
  <c r="P37" i="2"/>
  <c r="O37" i="2"/>
  <c r="N37" i="2"/>
  <c r="AF36" i="2"/>
  <c r="AE36" i="2"/>
  <c r="Z36" i="2"/>
  <c r="Y36" i="2"/>
  <c r="X36" i="2"/>
  <c r="V36" i="2"/>
  <c r="U36" i="2"/>
  <c r="T36" i="2"/>
  <c r="S36" i="2"/>
  <c r="R36" i="2"/>
  <c r="Q36" i="2"/>
  <c r="P36" i="2"/>
  <c r="O36" i="2"/>
  <c r="N36" i="2"/>
  <c r="W36" i="2" s="1"/>
  <c r="AF35" i="2"/>
  <c r="AE35" i="2"/>
  <c r="Z35" i="2"/>
  <c r="Y35" i="2"/>
  <c r="X35" i="2"/>
  <c r="V35" i="2"/>
  <c r="U35" i="2"/>
  <c r="T35" i="2"/>
  <c r="S35" i="2"/>
  <c r="R35" i="2"/>
  <c r="Q35" i="2"/>
  <c r="P35" i="2"/>
  <c r="O35" i="2"/>
  <c r="N35" i="2"/>
  <c r="W35" i="2" s="1"/>
  <c r="AF34" i="2"/>
  <c r="AE34" i="2"/>
  <c r="Z34" i="2"/>
  <c r="Y34" i="2"/>
  <c r="X34" i="2"/>
  <c r="V34" i="2"/>
  <c r="U34" i="2"/>
  <c r="T34" i="2"/>
  <c r="S34" i="2"/>
  <c r="R34" i="2"/>
  <c r="Q34" i="2"/>
  <c r="P34" i="2"/>
  <c r="W34" i="2" s="1"/>
  <c r="O34" i="2"/>
  <c r="N34" i="2"/>
  <c r="AF33" i="2"/>
  <c r="AE33" i="2"/>
  <c r="AG33" i="2" s="1"/>
  <c r="Z33" i="2"/>
  <c r="Y33" i="2"/>
  <c r="X33" i="2"/>
  <c r="V33" i="2"/>
  <c r="U33" i="2"/>
  <c r="T33" i="2"/>
  <c r="S33" i="2"/>
  <c r="R33" i="2"/>
  <c r="Q33" i="2"/>
  <c r="P33" i="2"/>
  <c r="O33" i="2"/>
  <c r="N33" i="2"/>
  <c r="W33" i="2" s="1"/>
  <c r="AH33" i="2" s="1"/>
  <c r="AF32" i="2"/>
  <c r="AE32" i="2"/>
  <c r="Z32" i="2"/>
  <c r="Y32" i="2"/>
  <c r="X32" i="2"/>
  <c r="V32" i="2"/>
  <c r="U32" i="2"/>
  <c r="W32" i="2" s="1"/>
  <c r="T32" i="2"/>
  <c r="S32" i="2"/>
  <c r="R32" i="2"/>
  <c r="Q32" i="2"/>
  <c r="P32" i="2"/>
  <c r="O32" i="2"/>
  <c r="N32" i="2"/>
  <c r="AF31" i="2"/>
  <c r="AE31" i="2"/>
  <c r="AG31" i="2" s="1"/>
  <c r="Z31" i="2"/>
  <c r="Y31" i="2"/>
  <c r="X31" i="2"/>
  <c r="V31" i="2"/>
  <c r="U31" i="2"/>
  <c r="T31" i="2"/>
  <c r="S31" i="2"/>
  <c r="R31" i="2"/>
  <c r="Q31" i="2"/>
  <c r="P31" i="2"/>
  <c r="O31" i="2"/>
  <c r="N31" i="2"/>
  <c r="W31" i="2" s="1"/>
  <c r="AH31" i="2" s="1"/>
  <c r="AF30" i="2"/>
  <c r="AE30" i="2"/>
  <c r="Z30" i="2"/>
  <c r="Y30" i="2"/>
  <c r="X30" i="2"/>
  <c r="V30" i="2"/>
  <c r="U30" i="2"/>
  <c r="T30" i="2"/>
  <c r="S30" i="2"/>
  <c r="R30" i="2"/>
  <c r="Q30" i="2"/>
  <c r="P30" i="2"/>
  <c r="O30" i="2"/>
  <c r="N30" i="2"/>
  <c r="AF29" i="2"/>
  <c r="AG29" i="2" s="1"/>
  <c r="AE29" i="2"/>
  <c r="Z29" i="2"/>
  <c r="Y29" i="2"/>
  <c r="X29" i="2"/>
  <c r="V29" i="2"/>
  <c r="U29" i="2"/>
  <c r="T29" i="2"/>
  <c r="S29" i="2"/>
  <c r="R29" i="2"/>
  <c r="Q29" i="2"/>
  <c r="P29" i="2"/>
  <c r="W29" i="2" s="1"/>
  <c r="AH29" i="2" s="1"/>
  <c r="O29" i="2"/>
  <c r="N29" i="2"/>
  <c r="AF28" i="2"/>
  <c r="AE28" i="2"/>
  <c r="Z28" i="2"/>
  <c r="Y28" i="2"/>
  <c r="X28" i="2"/>
  <c r="V28" i="2"/>
  <c r="U28" i="2"/>
  <c r="T28" i="2"/>
  <c r="S28" i="2"/>
  <c r="R28" i="2"/>
  <c r="Q28" i="2"/>
  <c r="P28" i="2"/>
  <c r="O28" i="2"/>
  <c r="N28" i="2"/>
  <c r="W28" i="2" s="1"/>
  <c r="AG27" i="2"/>
  <c r="AF27" i="2"/>
  <c r="AE27" i="2"/>
  <c r="Z27" i="2"/>
  <c r="Y27" i="2"/>
  <c r="X27" i="2"/>
  <c r="V27" i="2"/>
  <c r="U27" i="2"/>
  <c r="T27" i="2"/>
  <c r="S27" i="2"/>
  <c r="R27" i="2"/>
  <c r="Q27" i="2"/>
  <c r="P27" i="2"/>
  <c r="W27" i="2" s="1"/>
  <c r="AH27" i="2" s="1"/>
  <c r="O27" i="2"/>
  <c r="N27" i="2"/>
  <c r="AF26" i="2"/>
  <c r="AE26" i="2"/>
  <c r="AG26" i="2" s="1"/>
  <c r="Z26" i="2"/>
  <c r="Y26" i="2"/>
  <c r="X26" i="2"/>
  <c r="V26" i="2"/>
  <c r="U26" i="2"/>
  <c r="T26" i="2"/>
  <c r="S26" i="2"/>
  <c r="R26" i="2"/>
  <c r="Q26" i="2"/>
  <c r="P26" i="2"/>
  <c r="O26" i="2"/>
  <c r="W26" i="2" s="1"/>
  <c r="N26" i="2"/>
  <c r="AF25" i="2"/>
  <c r="AE25" i="2"/>
  <c r="AG25" i="2" s="1"/>
  <c r="Z25" i="2"/>
  <c r="Y25" i="2"/>
  <c r="X25" i="2"/>
  <c r="V25" i="2"/>
  <c r="U25" i="2"/>
  <c r="T25" i="2"/>
  <c r="S25" i="2"/>
  <c r="R25" i="2"/>
  <c r="Q25" i="2"/>
  <c r="P25" i="2"/>
  <c r="O25" i="2"/>
  <c r="N25" i="2"/>
  <c r="W25" i="2" s="1"/>
  <c r="AH25" i="2" s="1"/>
  <c r="AF24" i="2"/>
  <c r="AE24" i="2"/>
  <c r="Z24" i="2"/>
  <c r="Y24" i="2"/>
  <c r="X24" i="2"/>
  <c r="V24" i="2"/>
  <c r="U24" i="2"/>
  <c r="T24" i="2"/>
  <c r="S24" i="2"/>
  <c r="R24" i="2"/>
  <c r="Q24" i="2"/>
  <c r="P24" i="2"/>
  <c r="O24" i="2"/>
  <c r="N24" i="2"/>
  <c r="W24" i="2" s="1"/>
  <c r="AG23" i="2"/>
  <c r="AF23" i="2"/>
  <c r="AE23" i="2"/>
  <c r="Z23" i="2"/>
  <c r="Y23" i="2"/>
  <c r="X23" i="2"/>
  <c r="V23" i="2"/>
  <c r="U23" i="2"/>
  <c r="T23" i="2"/>
  <c r="S23" i="2"/>
  <c r="R23" i="2"/>
  <c r="Q23" i="2"/>
  <c r="P23" i="2"/>
  <c r="O23" i="2"/>
  <c r="N23" i="2"/>
  <c r="W23" i="2" s="1"/>
  <c r="AG22" i="2"/>
  <c r="AF22" i="2"/>
  <c r="AE22" i="2"/>
  <c r="Z22" i="2"/>
  <c r="Y22" i="2"/>
  <c r="X22" i="2"/>
  <c r="V22" i="2"/>
  <c r="U22" i="2"/>
  <c r="T22" i="2"/>
  <c r="S22" i="2"/>
  <c r="R22" i="2"/>
  <c r="Q22" i="2"/>
  <c r="P22" i="2"/>
  <c r="W22" i="2" s="1"/>
  <c r="O22" i="2"/>
  <c r="N22" i="2"/>
  <c r="AF21" i="2"/>
  <c r="AE21" i="2"/>
  <c r="AG21" i="2" s="1"/>
  <c r="Z21" i="2"/>
  <c r="Y21" i="2"/>
  <c r="X21" i="2"/>
  <c r="V21" i="2"/>
  <c r="U21" i="2"/>
  <c r="T21" i="2"/>
  <c r="S21" i="2"/>
  <c r="R21" i="2"/>
  <c r="Q21" i="2"/>
  <c r="P21" i="2"/>
  <c r="O21" i="2"/>
  <c r="N21" i="2"/>
  <c r="W21" i="2" s="1"/>
  <c r="AG20" i="2"/>
  <c r="AF20" i="2"/>
  <c r="AE20" i="2"/>
  <c r="Z20" i="2"/>
  <c r="Y20" i="2"/>
  <c r="X20" i="2"/>
  <c r="V20" i="2"/>
  <c r="U20" i="2"/>
  <c r="T20" i="2"/>
  <c r="S20" i="2"/>
  <c r="R20" i="2"/>
  <c r="Q20" i="2"/>
  <c r="P20" i="2"/>
  <c r="O20" i="2"/>
  <c r="N20" i="2"/>
  <c r="W20" i="2" s="1"/>
  <c r="AF19" i="2"/>
  <c r="AE19" i="2"/>
  <c r="Z19" i="2"/>
  <c r="Y19" i="2"/>
  <c r="X19" i="2"/>
  <c r="V19" i="2"/>
  <c r="U19" i="2"/>
  <c r="T19" i="2"/>
  <c r="S19" i="2"/>
  <c r="R19" i="2"/>
  <c r="Q19" i="2"/>
  <c r="P19" i="2"/>
  <c r="O19" i="2"/>
  <c r="W19" i="2" s="1"/>
  <c r="N19" i="2"/>
  <c r="AF18" i="2"/>
  <c r="AG18" i="2" s="1"/>
  <c r="AE18" i="2"/>
  <c r="Z18" i="2"/>
  <c r="Y18" i="2"/>
  <c r="X18" i="2"/>
  <c r="V18" i="2"/>
  <c r="U18" i="2"/>
  <c r="T18" i="2"/>
  <c r="S18" i="2"/>
  <c r="R18" i="2"/>
  <c r="Q18" i="2"/>
  <c r="P18" i="2"/>
  <c r="O18" i="2"/>
  <c r="N18" i="2"/>
  <c r="W18" i="2" s="1"/>
  <c r="AF17" i="2"/>
  <c r="AE17" i="2"/>
  <c r="AG17" i="2" s="1"/>
  <c r="Z17" i="2"/>
  <c r="Y17" i="2"/>
  <c r="X17" i="2"/>
  <c r="V17" i="2"/>
  <c r="U17" i="2"/>
  <c r="T17" i="2"/>
  <c r="S17" i="2"/>
  <c r="R17" i="2"/>
  <c r="Q17" i="2"/>
  <c r="P17" i="2"/>
  <c r="O17" i="2"/>
  <c r="N17" i="2"/>
  <c r="AF16" i="2"/>
  <c r="AE16" i="2"/>
  <c r="AG16" i="2" s="1"/>
  <c r="Z16" i="2"/>
  <c r="Y16" i="2"/>
  <c r="X16" i="2"/>
  <c r="V16" i="2"/>
  <c r="U16" i="2"/>
  <c r="T16" i="2"/>
  <c r="S16" i="2"/>
  <c r="R16" i="2"/>
  <c r="Q16" i="2"/>
  <c r="P16" i="2"/>
  <c r="O16" i="2"/>
  <c r="N16" i="2"/>
  <c r="W16" i="2" s="1"/>
  <c r="AF15" i="2"/>
  <c r="AE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AF14" i="2"/>
  <c r="AE14" i="2"/>
  <c r="AG14" i="2" s="1"/>
  <c r="Z14" i="2"/>
  <c r="Y14" i="2"/>
  <c r="X14" i="2"/>
  <c r="W14" i="2"/>
  <c r="AH14" i="2" s="1"/>
  <c r="V14" i="2"/>
  <c r="U14" i="2"/>
  <c r="T14" i="2"/>
  <c r="S14" i="2"/>
  <c r="R14" i="2"/>
  <c r="Q14" i="2"/>
  <c r="P14" i="2"/>
  <c r="O14" i="2"/>
  <c r="N14" i="2"/>
  <c r="AG13" i="2"/>
  <c r="AF13" i="2"/>
  <c r="AE13" i="2"/>
  <c r="Z13" i="2"/>
  <c r="Y13" i="2"/>
  <c r="X13" i="2"/>
  <c r="V13" i="2"/>
  <c r="U13" i="2"/>
  <c r="T13" i="2"/>
  <c r="S13" i="2"/>
  <c r="R13" i="2"/>
  <c r="Q13" i="2"/>
  <c r="P13" i="2"/>
  <c r="O13" i="2"/>
  <c r="N13" i="2"/>
  <c r="W13" i="2" s="1"/>
  <c r="AF12" i="2"/>
  <c r="AE12" i="2"/>
  <c r="AG12" i="2" s="1"/>
  <c r="Z12" i="2"/>
  <c r="Y12" i="2"/>
  <c r="X12" i="2"/>
  <c r="V12" i="2"/>
  <c r="U12" i="2"/>
  <c r="T12" i="2"/>
  <c r="S12" i="2"/>
  <c r="R12" i="2"/>
  <c r="Q12" i="2"/>
  <c r="P12" i="2"/>
  <c r="O12" i="2"/>
  <c r="N12" i="2"/>
  <c r="AF11" i="2"/>
  <c r="AE11" i="2"/>
  <c r="Z11" i="2"/>
  <c r="Y11" i="2"/>
  <c r="X11" i="2"/>
  <c r="V11" i="2"/>
  <c r="U11" i="2"/>
  <c r="T11" i="2"/>
  <c r="S11" i="2"/>
  <c r="R11" i="2"/>
  <c r="Q11" i="2"/>
  <c r="P11" i="2"/>
  <c r="O11" i="2"/>
  <c r="N11" i="2"/>
  <c r="W11" i="2" s="1"/>
  <c r="AF10" i="2"/>
  <c r="AE10" i="2"/>
  <c r="Z10" i="2"/>
  <c r="Y10" i="2"/>
  <c r="X10" i="2"/>
  <c r="V10" i="2"/>
  <c r="U10" i="2"/>
  <c r="T10" i="2"/>
  <c r="S10" i="2"/>
  <c r="R10" i="2"/>
  <c r="Q10" i="2"/>
  <c r="P10" i="2"/>
  <c r="O10" i="2"/>
  <c r="N10" i="2"/>
  <c r="AF9" i="2"/>
  <c r="AE9" i="2"/>
  <c r="AG9" i="2" s="1"/>
  <c r="Z9" i="2"/>
  <c r="Y9" i="2"/>
  <c r="X9" i="2"/>
  <c r="V9" i="2"/>
  <c r="U9" i="2"/>
  <c r="T9" i="2"/>
  <c r="S9" i="2"/>
  <c r="R9" i="2"/>
  <c r="Q9" i="2"/>
  <c r="P9" i="2"/>
  <c r="O9" i="2"/>
  <c r="N9" i="2"/>
  <c r="W9" i="2" s="1"/>
  <c r="AF8" i="2"/>
  <c r="AE8" i="2"/>
  <c r="Z8" i="2"/>
  <c r="Y8" i="2"/>
  <c r="X8" i="2"/>
  <c r="V8" i="2"/>
  <c r="U8" i="2"/>
  <c r="T8" i="2"/>
  <c r="S8" i="2"/>
  <c r="R8" i="2"/>
  <c r="Q8" i="2"/>
  <c r="P8" i="2"/>
  <c r="O8" i="2"/>
  <c r="N8" i="2"/>
  <c r="W8" i="2" s="1"/>
  <c r="AF7" i="2"/>
  <c r="AE7" i="2"/>
  <c r="Z7" i="2"/>
  <c r="Y7" i="2"/>
  <c r="X7" i="2"/>
  <c r="V7" i="2"/>
  <c r="U7" i="2"/>
  <c r="T7" i="2"/>
  <c r="S7" i="2"/>
  <c r="R7" i="2"/>
  <c r="Q7" i="2"/>
  <c r="P7" i="2"/>
  <c r="O7" i="2"/>
  <c r="W7" i="2" s="1"/>
  <c r="N7" i="2"/>
  <c r="AF6" i="2"/>
  <c r="AE6" i="2"/>
  <c r="AG6" i="2" s="1"/>
  <c r="Z6" i="2"/>
  <c r="Y6" i="2"/>
  <c r="X6" i="2"/>
  <c r="V6" i="2"/>
  <c r="U6" i="2"/>
  <c r="T6" i="2"/>
  <c r="S6" i="2"/>
  <c r="R6" i="2"/>
  <c r="Q6" i="2"/>
  <c r="P6" i="2"/>
  <c r="W6" i="2" s="1"/>
  <c r="O6" i="2"/>
  <c r="N6" i="2"/>
  <c r="AF5" i="2"/>
  <c r="AE5" i="2"/>
  <c r="AG5" i="2" s="1"/>
  <c r="Z5" i="2"/>
  <c r="Y5" i="2"/>
  <c r="X5" i="2"/>
  <c r="V5" i="2"/>
  <c r="U5" i="2"/>
  <c r="T5" i="2"/>
  <c r="S5" i="2"/>
  <c r="R5" i="2"/>
  <c r="Q5" i="2"/>
  <c r="P5" i="2"/>
  <c r="O5" i="2"/>
  <c r="N5" i="2"/>
  <c r="AF4" i="2"/>
  <c r="AG4" i="2" s="1"/>
  <c r="AE4" i="2"/>
  <c r="Z4" i="2"/>
  <c r="Y4" i="2"/>
  <c r="X4" i="2"/>
  <c r="V4" i="2"/>
  <c r="U4" i="2"/>
  <c r="T4" i="2"/>
  <c r="S4" i="2"/>
  <c r="R4" i="2"/>
  <c r="Q4" i="2"/>
  <c r="P4" i="2"/>
  <c r="O4" i="2"/>
  <c r="N4" i="2"/>
  <c r="W4" i="2" s="1"/>
  <c r="AH4" i="2" s="1"/>
  <c r="AF3" i="2"/>
  <c r="AE3" i="2"/>
  <c r="Z3" i="2"/>
  <c r="Y3" i="2"/>
  <c r="X3" i="2"/>
  <c r="V3" i="2"/>
  <c r="U3" i="2"/>
  <c r="T3" i="2"/>
  <c r="S3" i="2"/>
  <c r="R3" i="2"/>
  <c r="Q3" i="2"/>
  <c r="P3" i="2"/>
  <c r="O3" i="2"/>
  <c r="N3" i="2"/>
  <c r="AF2" i="2"/>
  <c r="AG2" i="2" s="1"/>
  <c r="AE2" i="2"/>
  <c r="Z2" i="2"/>
  <c r="Y2" i="2"/>
  <c r="X2" i="2"/>
  <c r="V2" i="2"/>
  <c r="U2" i="2"/>
  <c r="T2" i="2"/>
  <c r="S2" i="2"/>
  <c r="R2" i="2"/>
  <c r="Q2" i="2"/>
  <c r="P2" i="2"/>
  <c r="O2" i="2"/>
  <c r="N2" i="2"/>
  <c r="W2" i="2" s="1"/>
  <c r="B17" i="1"/>
  <c r="D16" i="1"/>
  <c r="H32" i="5" l="1"/>
  <c r="H41" i="5"/>
  <c r="H5" i="5"/>
  <c r="H33" i="5"/>
  <c r="H22" i="5"/>
  <c r="H24" i="5"/>
  <c r="H51" i="5"/>
  <c r="H49" i="5"/>
  <c r="H6" i="5"/>
  <c r="H25" i="5"/>
  <c r="H40" i="5"/>
  <c r="H14" i="5"/>
  <c r="H17" i="5"/>
  <c r="H44" i="5"/>
  <c r="H18" i="5"/>
  <c r="H45" i="5"/>
  <c r="H9" i="5"/>
  <c r="H4" i="5"/>
  <c r="H28" i="5"/>
  <c r="H37" i="5"/>
  <c r="H54" i="5"/>
  <c r="H13" i="5"/>
  <c r="H20" i="5"/>
  <c r="H47" i="5"/>
  <c r="H55" i="5"/>
  <c r="H29" i="5"/>
  <c r="H30" i="5"/>
  <c r="AG24" i="2"/>
  <c r="AG204" i="2"/>
  <c r="AH228" i="2"/>
  <c r="AG161" i="2"/>
  <c r="AH181" i="2"/>
  <c r="AG165" i="2"/>
  <c r="C20" i="5"/>
  <c r="AG126" i="2"/>
  <c r="C19" i="5" s="1"/>
  <c r="AG83" i="2"/>
  <c r="AH244" i="2"/>
  <c r="AH250" i="2"/>
  <c r="AG214" i="2"/>
  <c r="C32" i="5" s="1"/>
  <c r="AH113" i="2"/>
  <c r="AG290" i="2"/>
  <c r="AH279" i="2"/>
  <c r="AH291" i="2"/>
  <c r="AG85" i="2"/>
  <c r="AH85" i="2" s="1"/>
  <c r="AH95" i="2"/>
  <c r="AH273" i="2"/>
  <c r="AG263" i="2"/>
  <c r="C39" i="5" s="1"/>
  <c r="AG179" i="2"/>
  <c r="AH179" i="2" s="1"/>
  <c r="AG267" i="2"/>
  <c r="AH267" i="2" s="1"/>
  <c r="AH330" i="2"/>
  <c r="AG30" i="2"/>
  <c r="C6" i="5" s="1"/>
  <c r="AG32" i="2"/>
  <c r="AG34" i="2"/>
  <c r="AG36" i="2"/>
  <c r="AH36" i="2" s="1"/>
  <c r="AG44" i="2"/>
  <c r="C8" i="5" s="1"/>
  <c r="AG46" i="2"/>
  <c r="AG171" i="2"/>
  <c r="AG52" i="2"/>
  <c r="AG134" i="2"/>
  <c r="AH134" i="2" s="1"/>
  <c r="AG177" i="2"/>
  <c r="AG218" i="2"/>
  <c r="AG3" i="2"/>
  <c r="AH53" i="2"/>
  <c r="AG54" i="2"/>
  <c r="AG60" i="2"/>
  <c r="C10" i="5" s="1"/>
  <c r="AH94" i="2"/>
  <c r="AG95" i="2"/>
  <c r="C15" i="5" s="1"/>
  <c r="AG136" i="2"/>
  <c r="AH136" i="2" s="1"/>
  <c r="AH178" i="2"/>
  <c r="AH217" i="2"/>
  <c r="AG220" i="2"/>
  <c r="C33" i="5" s="1"/>
  <c r="C3" i="5"/>
  <c r="AH15" i="2"/>
  <c r="AG183" i="2"/>
  <c r="AH193" i="2"/>
  <c r="AG222" i="2"/>
  <c r="AH222" i="2" s="1"/>
  <c r="AG226" i="2"/>
  <c r="AG302" i="2"/>
  <c r="AG304" i="2"/>
  <c r="AG347" i="2"/>
  <c r="AG11" i="2"/>
  <c r="AH11" i="2" s="1"/>
  <c r="AG66" i="2"/>
  <c r="AH98" i="2"/>
  <c r="AG101" i="2"/>
  <c r="AG140" i="2"/>
  <c r="AG185" i="2"/>
  <c r="C28" i="5" s="1"/>
  <c r="AH215" i="2"/>
  <c r="AG230" i="2"/>
  <c r="AH230" i="2" s="1"/>
  <c r="AG234" i="2"/>
  <c r="AG308" i="2"/>
  <c r="AH308" i="2" s="1"/>
  <c r="AH340" i="2"/>
  <c r="AH69" i="2"/>
  <c r="C12" i="5"/>
  <c r="AG103" i="2"/>
  <c r="C16" i="5" s="1"/>
  <c r="AH176" i="2"/>
  <c r="AH223" i="2"/>
  <c r="AH231" i="2"/>
  <c r="AG240" i="2"/>
  <c r="AH270" i="2"/>
  <c r="AH272" i="2"/>
  <c r="AG273" i="2"/>
  <c r="AG310" i="2"/>
  <c r="AG312" i="2"/>
  <c r="AG318" i="2"/>
  <c r="AH336" i="2"/>
  <c r="AG351" i="2"/>
  <c r="AG353" i="2"/>
  <c r="AG78" i="2"/>
  <c r="AH78" i="2" s="1"/>
  <c r="AG109" i="2"/>
  <c r="AG113" i="2"/>
  <c r="AH151" i="2"/>
  <c r="AH174" i="2"/>
  <c r="AH192" i="2"/>
  <c r="AH307" i="2"/>
  <c r="AH309" i="2"/>
  <c r="AH356" i="2"/>
  <c r="C53" i="5"/>
  <c r="AG19" i="2"/>
  <c r="AH81" i="2"/>
  <c r="AG197" i="2"/>
  <c r="AH197" i="2" s="1"/>
  <c r="AG248" i="2"/>
  <c r="AH248" i="2" s="1"/>
  <c r="AH284" i="2"/>
  <c r="AH18" i="2"/>
  <c r="AH20" i="2"/>
  <c r="AG86" i="2"/>
  <c r="AH196" i="2"/>
  <c r="AH288" i="2"/>
  <c r="AG291" i="2"/>
  <c r="AG330" i="2"/>
  <c r="AG88" i="2"/>
  <c r="AH112" i="2"/>
  <c r="AG164" i="2"/>
  <c r="C25" i="5" s="1"/>
  <c r="AG166" i="2"/>
  <c r="AH166" i="2" s="1"/>
  <c r="AG168" i="2"/>
  <c r="AH168" i="2" s="1"/>
  <c r="AH210" i="2"/>
  <c r="AH255" i="2"/>
  <c r="AG256" i="2"/>
  <c r="B15" i="1" s="1"/>
  <c r="AG297" i="2"/>
  <c r="AH22" i="2"/>
  <c r="AH89" i="2"/>
  <c r="AH130" i="2"/>
  <c r="AH155" i="2"/>
  <c r="AH202" i="2"/>
  <c r="AG262" i="2"/>
  <c r="AH262" i="2" s="1"/>
  <c r="AH298" i="2"/>
  <c r="AH327" i="2"/>
  <c r="AH132" i="2"/>
  <c r="AH257" i="2"/>
  <c r="AH333" i="2"/>
  <c r="AH370" i="2"/>
  <c r="AH48" i="2"/>
  <c r="AG49" i="2"/>
  <c r="AG51" i="2"/>
  <c r="AH71" i="2"/>
  <c r="AG94" i="2"/>
  <c r="AG135" i="2"/>
  <c r="C21" i="5" s="1"/>
  <c r="AG172" i="2"/>
  <c r="AH172" i="2" s="1"/>
  <c r="AG174" i="2"/>
  <c r="AG176" i="2"/>
  <c r="AG178" i="2"/>
  <c r="AG217" i="2"/>
  <c r="AG338" i="2"/>
  <c r="C50" i="5" s="1"/>
  <c r="AG346" i="2"/>
  <c r="AH346" i="2" s="1"/>
  <c r="AH104" i="2"/>
  <c r="AG305" i="2"/>
  <c r="C45" i="5" s="1"/>
  <c r="AG10" i="2"/>
  <c r="AH62" i="2"/>
  <c r="AG67" i="2"/>
  <c r="C11" i="5" s="1"/>
  <c r="AH126" i="2"/>
  <c r="AG139" i="2"/>
  <c r="AH139" i="2" s="1"/>
  <c r="AG141" i="2"/>
  <c r="AH141" i="2" s="1"/>
  <c r="AG143" i="2"/>
  <c r="AH143" i="2" s="1"/>
  <c r="AG186" i="2"/>
  <c r="AH186" i="2" s="1"/>
  <c r="AH216" i="2"/>
  <c r="AG231" i="2"/>
  <c r="AG233" i="2"/>
  <c r="D55" i="5"/>
  <c r="AH144" i="2"/>
  <c r="AG71" i="2"/>
  <c r="AG73" i="2"/>
  <c r="AG75" i="2"/>
  <c r="AG149" i="2"/>
  <c r="AG151" i="2"/>
  <c r="AG155" i="2"/>
  <c r="AG276" i="2"/>
  <c r="C41" i="5" s="1"/>
  <c r="AH302" i="2"/>
  <c r="AH349" i="2"/>
  <c r="AH351" i="2"/>
  <c r="AH364" i="2"/>
  <c r="AH368" i="2"/>
  <c r="AG42" i="2"/>
  <c r="AH42" i="2" s="1"/>
  <c r="AH6" i="2"/>
  <c r="AH49" i="2"/>
  <c r="AH102" i="2"/>
  <c r="AH108" i="2"/>
  <c r="AH87" i="2"/>
  <c r="AH323" i="2"/>
  <c r="AH269" i="2"/>
  <c r="AH300" i="2"/>
  <c r="AH140" i="2"/>
  <c r="AH76" i="2"/>
  <c r="AH97" i="2"/>
  <c r="AG108" i="2"/>
  <c r="AG112" i="2"/>
  <c r="AH277" i="2"/>
  <c r="AG278" i="2"/>
  <c r="AG323" i="2"/>
  <c r="AG38" i="2"/>
  <c r="AG15" i="2"/>
  <c r="AH75" i="2"/>
  <c r="AH321" i="2"/>
  <c r="AH188" i="2"/>
  <c r="AH204" i="2"/>
  <c r="AH169" i="2"/>
  <c r="AH218" i="2"/>
  <c r="AH173" i="2"/>
  <c r="AG182" i="2"/>
  <c r="AH182" i="2" s="1"/>
  <c r="AH265" i="2"/>
  <c r="AG270" i="2"/>
  <c r="C40" i="5" s="1"/>
  <c r="AH115" i="2"/>
  <c r="AG116" i="2"/>
  <c r="C18" i="5" s="1"/>
  <c r="AG120" i="2"/>
  <c r="AH120" i="2" s="1"/>
  <c r="AH158" i="2"/>
  <c r="AH183" i="2"/>
  <c r="AH271" i="2"/>
  <c r="AG280" i="2"/>
  <c r="AH280" i="2" s="1"/>
  <c r="AG325" i="2"/>
  <c r="C48" i="5" s="1"/>
  <c r="AH337" i="2"/>
  <c r="AH357" i="2"/>
  <c r="AH23" i="2"/>
  <c r="B5" i="5"/>
  <c r="AH107" i="2"/>
  <c r="B17" i="5"/>
  <c r="D14" i="1"/>
  <c r="B2" i="5"/>
  <c r="AH35" i="2"/>
  <c r="W41" i="2"/>
  <c r="AH41" i="2" s="1"/>
  <c r="AH51" i="2"/>
  <c r="AH359" i="2"/>
  <c r="B53" i="5"/>
  <c r="D53" i="5" s="1"/>
  <c r="AH63" i="2"/>
  <c r="AH135" i="2"/>
  <c r="B21" i="5"/>
  <c r="C34" i="5"/>
  <c r="AH252" i="2"/>
  <c r="W39" i="2"/>
  <c r="AH39" i="2" s="1"/>
  <c r="W61" i="2"/>
  <c r="AH61" i="2" s="1"/>
  <c r="AH303" i="2"/>
  <c r="AH100" i="2"/>
  <c r="AH16" i="2"/>
  <c r="AH88" i="2"/>
  <c r="C24" i="5"/>
  <c r="C46" i="5"/>
  <c r="AH79" i="2"/>
  <c r="B13" i="5"/>
  <c r="AH190" i="2"/>
  <c r="AH165" i="2"/>
  <c r="AH247" i="2"/>
  <c r="B37" i="5"/>
  <c r="AH253" i="2"/>
  <c r="AH286" i="2"/>
  <c r="AH163" i="2"/>
  <c r="W5" i="2"/>
  <c r="AH5" i="2" s="1"/>
  <c r="W46" i="2"/>
  <c r="AH46" i="2" s="1"/>
  <c r="AH52" i="2"/>
  <c r="AH278" i="2"/>
  <c r="AH329" i="2"/>
  <c r="AH335" i="2"/>
  <c r="AH339" i="2"/>
  <c r="AH162" i="2"/>
  <c r="AH34" i="2"/>
  <c r="AH60" i="2"/>
  <c r="C4" i="5"/>
  <c r="AH83" i="2"/>
  <c r="AH200" i="2"/>
  <c r="AH249" i="2"/>
  <c r="AH26" i="2"/>
  <c r="AH70" i="2"/>
  <c r="AH347" i="2"/>
  <c r="AH24" i="2"/>
  <c r="D17" i="1"/>
  <c r="AH251" i="2"/>
  <c r="AH13" i="2"/>
  <c r="AH50" i="2"/>
  <c r="W3" i="2"/>
  <c r="AH3" i="2" s="1"/>
  <c r="W44" i="2"/>
  <c r="AH72" i="2"/>
  <c r="AH74" i="2"/>
  <c r="AH138" i="2"/>
  <c r="AH232" i="2"/>
  <c r="C47" i="5"/>
  <c r="AH331" i="2"/>
  <c r="B49" i="5"/>
  <c r="AH362" i="2"/>
  <c r="AH161" i="2"/>
  <c r="AH9" i="2"/>
  <c r="AH171" i="2"/>
  <c r="AH32" i="2"/>
  <c r="AH105" i="2"/>
  <c r="C23" i="5"/>
  <c r="AH238" i="2"/>
  <c r="W54" i="2"/>
  <c r="AH167" i="2"/>
  <c r="AH189" i="2"/>
  <c r="AH191" i="2"/>
  <c r="B29" i="5"/>
  <c r="AH312" i="2"/>
  <c r="AH314" i="2"/>
  <c r="AH8" i="2"/>
  <c r="AH147" i="2"/>
  <c r="C7" i="5"/>
  <c r="AH358" i="2"/>
  <c r="AH19" i="2"/>
  <c r="AH21" i="2"/>
  <c r="AH109" i="2"/>
  <c r="AH214" i="2"/>
  <c r="AH275" i="2"/>
  <c r="AG35" i="2"/>
  <c r="W114" i="2"/>
  <c r="W128" i="2"/>
  <c r="W282" i="2"/>
  <c r="AG339" i="2"/>
  <c r="AG64" i="2"/>
  <c r="AH64" i="2" s="1"/>
  <c r="W121" i="2"/>
  <c r="AG238" i="2"/>
  <c r="AG283" i="2"/>
  <c r="AH283" i="2" s="1"/>
  <c r="W310" i="2"/>
  <c r="AG371" i="2"/>
  <c r="C54" i="5" s="1"/>
  <c r="AG8" i="2"/>
  <c r="W65" i="2"/>
  <c r="W206" i="2"/>
  <c r="AH206" i="2" s="1"/>
  <c r="W213" i="2"/>
  <c r="AH213" i="2" s="1"/>
  <c r="AG224" i="2"/>
  <c r="AH224" i="2" s="1"/>
  <c r="AG350" i="2"/>
  <c r="AH350" i="2" s="1"/>
  <c r="W208" i="2"/>
  <c r="AH208" i="2" s="1"/>
  <c r="W220" i="2"/>
  <c r="AG259" i="2"/>
  <c r="C38" i="5" s="1"/>
  <c r="AG294" i="2"/>
  <c r="AH294" i="2" s="1"/>
  <c r="AG322" i="2"/>
  <c r="AH322" i="2" s="1"/>
  <c r="AG343" i="2"/>
  <c r="W38" i="2"/>
  <c r="AH38" i="2" s="1"/>
  <c r="AG287" i="2"/>
  <c r="C42" i="5" s="1"/>
  <c r="H7" i="5"/>
  <c r="AH58" i="2"/>
  <c r="W96" i="2"/>
  <c r="AH96" i="2" s="1"/>
  <c r="W156" i="2"/>
  <c r="W234" i="2"/>
  <c r="W241" i="2"/>
  <c r="AH241" i="2" s="1"/>
  <c r="AG252" i="2"/>
  <c r="W45" i="2"/>
  <c r="AH45" i="2" s="1"/>
  <c r="W149" i="2"/>
  <c r="AG162" i="2"/>
  <c r="AG315" i="2"/>
  <c r="W360" i="2"/>
  <c r="AH360" i="2" s="1"/>
  <c r="H35" i="5"/>
  <c r="W101" i="2"/>
  <c r="AH101" i="2" s="1"/>
  <c r="AG148" i="2"/>
  <c r="AH148" i="2" s="1"/>
  <c r="W40" i="2"/>
  <c r="AH40" i="2" s="1"/>
  <c r="W142" i="2"/>
  <c r="W175" i="2"/>
  <c r="W353" i="2"/>
  <c r="AH353" i="2" s="1"/>
  <c r="C17" i="5"/>
  <c r="W236" i="2"/>
  <c r="AH236" i="2" s="1"/>
  <c r="C44" i="5"/>
  <c r="H8" i="5"/>
  <c r="C49" i="5"/>
  <c r="H15" i="5"/>
  <c r="AG119" i="2"/>
  <c r="AH119" i="2" s="1"/>
  <c r="W177" i="2"/>
  <c r="AG190" i="2"/>
  <c r="W290" i="2"/>
  <c r="W297" i="2"/>
  <c r="W325" i="2"/>
  <c r="AG63" i="2"/>
  <c r="W170" i="2"/>
  <c r="W203" i="2"/>
  <c r="W318" i="2"/>
  <c r="AH318" i="2" s="1"/>
  <c r="W332" i="2"/>
  <c r="AH332" i="2" s="1"/>
  <c r="W369" i="2"/>
  <c r="AH369" i="2" s="1"/>
  <c r="C26" i="5"/>
  <c r="AH219" i="2"/>
  <c r="AH334" i="2"/>
  <c r="H27" i="5"/>
  <c r="AG56" i="2"/>
  <c r="AH56" i="2" s="1"/>
  <c r="C43" i="5"/>
  <c r="W264" i="2"/>
  <c r="AH264" i="2" s="1"/>
  <c r="W276" i="2"/>
  <c r="AH276" i="2" s="1"/>
  <c r="AH348" i="2"/>
  <c r="AG7" i="2"/>
  <c r="AH7" i="2" s="1"/>
  <c r="W86" i="2"/>
  <c r="AG99" i="2"/>
  <c r="AH99" i="2" s="1"/>
  <c r="W212" i="2"/>
  <c r="W292" i="2"/>
  <c r="AH292" i="2" s="1"/>
  <c r="W304" i="2"/>
  <c r="AH304" i="2" s="1"/>
  <c r="W355" i="2"/>
  <c r="AH355" i="2" s="1"/>
  <c r="B10" i="5"/>
  <c r="B28" i="5"/>
  <c r="W93" i="2"/>
  <c r="W122" i="2"/>
  <c r="AH122" i="2" s="1"/>
  <c r="W129" i="2"/>
  <c r="AH129" i="2" s="1"/>
  <c r="W205" i="2"/>
  <c r="W320" i="2"/>
  <c r="AH320" i="2" s="1"/>
  <c r="W371" i="2"/>
  <c r="H23" i="5"/>
  <c r="W198" i="2"/>
  <c r="W37" i="2"/>
  <c r="AG147" i="2"/>
  <c r="AG232" i="2"/>
  <c r="AG358" i="2"/>
  <c r="C52" i="5" s="1"/>
  <c r="H3" i="5"/>
  <c r="B50" i="5"/>
  <c r="AH338" i="2"/>
  <c r="W66" i="2"/>
  <c r="AH66" i="2" s="1"/>
  <c r="W240" i="2"/>
  <c r="W341" i="2"/>
  <c r="AH341" i="2" s="1"/>
  <c r="W233" i="2"/>
  <c r="AG246" i="2"/>
  <c r="AH246" i="2" s="1"/>
  <c r="W285" i="2"/>
  <c r="AH285" i="2" s="1"/>
  <c r="H31" i="5"/>
  <c r="W226" i="2"/>
  <c r="W259" i="2"/>
  <c r="W313" i="2"/>
  <c r="AH313" i="2" s="1"/>
  <c r="W343" i="2"/>
  <c r="W352" i="2"/>
  <c r="C31" i="5"/>
  <c r="AH2" i="2"/>
  <c r="AG266" i="2"/>
  <c r="AH266" i="2" s="1"/>
  <c r="W30" i="2"/>
  <c r="W10" i="2"/>
  <c r="W68" i="2"/>
  <c r="AH68" i="2" s="1"/>
  <c r="AG175" i="2"/>
  <c r="AG260" i="2"/>
  <c r="AH260" i="2" s="1"/>
  <c r="W287" i="2"/>
  <c r="AG344" i="2"/>
  <c r="AH344" i="2" s="1"/>
  <c r="W366" i="2"/>
  <c r="W73" i="2"/>
  <c r="AH73" i="2" s="1"/>
  <c r="W17" i="2"/>
  <c r="AH17" i="2" s="1"/>
  <c r="AH185" i="2"/>
  <c r="W124" i="2"/>
  <c r="AH124" i="2" s="1"/>
  <c r="W150" i="2"/>
  <c r="AH150" i="2" s="1"/>
  <c r="W157" i="2"/>
  <c r="AH157" i="2" s="1"/>
  <c r="W268" i="2"/>
  <c r="W315" i="2"/>
  <c r="AH315" i="2" s="1"/>
  <c r="W12" i="2"/>
  <c r="AH12" i="2" s="1"/>
  <c r="AG84" i="2"/>
  <c r="C13" i="5" s="1"/>
  <c r="W261" i="2"/>
  <c r="AG274" i="2"/>
  <c r="AH274" i="2" s="1"/>
  <c r="W296" i="2"/>
  <c r="AG316" i="2"/>
  <c r="AH316" i="2" s="1"/>
  <c r="W324" i="2"/>
  <c r="W345" i="2"/>
  <c r="H11" i="5"/>
  <c r="W254" i="2"/>
  <c r="W289" i="2"/>
  <c r="AG28" i="2"/>
  <c r="AH28" i="2" s="1"/>
  <c r="AG91" i="2"/>
  <c r="AH91" i="2" s="1"/>
  <c r="AG127" i="2"/>
  <c r="AH127" i="2" s="1"/>
  <c r="W152" i="2"/>
  <c r="AH152" i="2" s="1"/>
  <c r="W164" i="2"/>
  <c r="AH164" i="2" s="1"/>
  <c r="AH184" i="2"/>
  <c r="AG203" i="2"/>
  <c r="C30" i="5" s="1"/>
  <c r="W317" i="2"/>
  <c r="D49" i="5" l="1"/>
  <c r="AH263" i="2"/>
  <c r="D21" i="5"/>
  <c r="AH67" i="2"/>
  <c r="AH116" i="2"/>
  <c r="C29" i="5"/>
  <c r="D29" i="5" s="1"/>
  <c r="D50" i="5"/>
  <c r="C27" i="5"/>
  <c r="AH220" i="2"/>
  <c r="AH256" i="2"/>
  <c r="AH287" i="2"/>
  <c r="AH103" i="2"/>
  <c r="C5" i="5"/>
  <c r="D5" i="5" s="1"/>
  <c r="C51" i="5"/>
  <c r="C35" i="5"/>
  <c r="C37" i="5"/>
  <c r="D37" i="5" s="1"/>
  <c r="AH290" i="2"/>
  <c r="AH234" i="2"/>
  <c r="AH10" i="2"/>
  <c r="AH325" i="2"/>
  <c r="AH305" i="2"/>
  <c r="AH54" i="2"/>
  <c r="C22" i="5"/>
  <c r="AH297" i="2"/>
  <c r="AH86" i="2"/>
  <c r="B14" i="5"/>
  <c r="AH317" i="2"/>
  <c r="B47" i="5"/>
  <c r="D47" i="5" s="1"/>
  <c r="AH175" i="2"/>
  <c r="B9" i="5"/>
  <c r="B36" i="5"/>
  <c r="AH240" i="2"/>
  <c r="B40" i="5"/>
  <c r="D40" i="5" s="1"/>
  <c r="AH268" i="2"/>
  <c r="AH198" i="2"/>
  <c r="B30" i="5"/>
  <c r="D30" i="5" s="1"/>
  <c r="B33" i="5"/>
  <c r="D33" i="5" s="1"/>
  <c r="B54" i="5"/>
  <c r="D54" i="5" s="1"/>
  <c r="AH366" i="2"/>
  <c r="B11" i="5"/>
  <c r="D11" i="5" s="1"/>
  <c r="AH65" i="2"/>
  <c r="B7" i="5"/>
  <c r="D7" i="5" s="1"/>
  <c r="AH37" i="2"/>
  <c r="B8" i="5"/>
  <c r="D8" i="5" s="1"/>
  <c r="AH44" i="2"/>
  <c r="AH142" i="2"/>
  <c r="B22" i="5"/>
  <c r="B12" i="5"/>
  <c r="D12" i="5" s="1"/>
  <c r="C36" i="5"/>
  <c r="B51" i="5"/>
  <c r="D51" i="5" s="1"/>
  <c r="AH345" i="2"/>
  <c r="D10" i="5"/>
  <c r="AH114" i="2"/>
  <c r="B18" i="5"/>
  <c r="D18" i="5" s="1"/>
  <c r="AH233" i="2"/>
  <c r="B35" i="5"/>
  <c r="B46" i="5"/>
  <c r="D46" i="5" s="1"/>
  <c r="AH310" i="2"/>
  <c r="AH205" i="2"/>
  <c r="B31" i="5"/>
  <c r="D31" i="5" s="1"/>
  <c r="AH121" i="2"/>
  <c r="B19" i="5"/>
  <c r="D19" i="5" s="1"/>
  <c r="B4" i="5"/>
  <c r="D4" i="5" s="1"/>
  <c r="B15" i="5"/>
  <c r="D15" i="5" s="1"/>
  <c r="AH93" i="2"/>
  <c r="C2" i="5"/>
  <c r="D2" i="5" s="1"/>
  <c r="C9" i="5"/>
  <c r="B45" i="5"/>
  <c r="D45" i="5" s="1"/>
  <c r="D15" i="1"/>
  <c r="AH289" i="2"/>
  <c r="B43" i="5"/>
  <c r="D43" i="5" s="1"/>
  <c r="AH203" i="2"/>
  <c r="D28" i="5"/>
  <c r="B3" i="5"/>
  <c r="D3" i="5" s="1"/>
  <c r="B41" i="5"/>
  <c r="D41" i="5" s="1"/>
  <c r="B44" i="5"/>
  <c r="D44" i="5" s="1"/>
  <c r="AH296" i="2"/>
  <c r="AH259" i="2"/>
  <c r="B25" i="5"/>
  <c r="D25" i="5" s="1"/>
  <c r="AH84" i="2"/>
  <c r="D13" i="5"/>
  <c r="C14" i="5"/>
  <c r="AH371" i="2"/>
  <c r="B42" i="5"/>
  <c r="D42" i="5" s="1"/>
  <c r="AH282" i="2"/>
  <c r="B16" i="5"/>
  <c r="D16" i="5" s="1"/>
  <c r="B52" i="5"/>
  <c r="D52" i="5" s="1"/>
  <c r="AH352" i="2"/>
  <c r="AH343" i="2"/>
  <c r="AH177" i="2"/>
  <c r="B27" i="5"/>
  <c r="B24" i="5"/>
  <c r="D24" i="5" s="1"/>
  <c r="AH156" i="2"/>
  <c r="AH226" i="2"/>
  <c r="B34" i="5"/>
  <c r="D34" i="5" s="1"/>
  <c r="B38" i="5"/>
  <c r="D38" i="5" s="1"/>
  <c r="AH254" i="2"/>
  <c r="AH170" i="2"/>
  <c r="B26" i="5"/>
  <c r="D26" i="5" s="1"/>
  <c r="AH30" i="2"/>
  <c r="B6" i="5"/>
  <c r="D6" i="5" s="1"/>
  <c r="AH149" i="2"/>
  <c r="B23" i="5"/>
  <c r="D23" i="5" s="1"/>
  <c r="D17" i="5"/>
  <c r="B20" i="5"/>
  <c r="D20" i="5" s="1"/>
  <c r="AH128" i="2"/>
  <c r="B48" i="5"/>
  <c r="D48" i="5" s="1"/>
  <c r="AH324" i="2"/>
  <c r="AH261" i="2"/>
  <c r="B39" i="5"/>
  <c r="D39" i="5" s="1"/>
  <c r="B32" i="5"/>
  <c r="D32" i="5" s="1"/>
  <c r="AH212" i="2"/>
  <c r="D22" i="5" l="1"/>
  <c r="D27" i="5"/>
  <c r="D35" i="5"/>
  <c r="D9" i="5"/>
  <c r="D36" i="5"/>
  <c r="D1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<sst xmlns="http://schemas.openxmlformats.org/spreadsheetml/2006/main" count="1314" uniqueCount="169">
  <si>
    <t>日常热量、运动消耗与体重追踪 Dashboard</t>
  </si>
  <si>
    <t>个人参数</t>
  </si>
  <si>
    <t>值</t>
  </si>
  <si>
    <t>身高 cm</t>
  </si>
  <si>
    <t>基础代谢 BMR kcal</t>
  </si>
  <si>
    <t>当前体重 kg</t>
  </si>
  <si>
    <t>目标体重 kg</t>
  </si>
  <si>
    <t>普通日目标摄入 kcal</t>
  </si>
  <si>
    <t>跑步日目标摄入 kcal</t>
  </si>
  <si>
    <t>羽毛球日目标摄入 kcal</t>
  </si>
  <si>
    <t>备注</t>
  </si>
  <si>
    <t>体重会影响运动消耗公式，建议先填B6当前体重。</t>
  </si>
  <si>
    <t>今日/最近记录概览</t>
  </si>
  <si>
    <t>最近日期</t>
  </si>
  <si>
    <t>最近摄入 kcal</t>
  </si>
  <si>
    <t>最近总消耗 kcal</t>
  </si>
  <si>
    <t>最近净热量 kcal</t>
  </si>
  <si>
    <t>最近体重 kg</t>
  </si>
  <si>
    <t>7日均重 kg</t>
  </si>
  <si>
    <t>近7天平均摄入</t>
  </si>
  <si>
    <t>近7天平均消耗</t>
  </si>
  <si>
    <t>已整理的默认估算</t>
  </si>
  <si>
    <t>早餐</t>
  </si>
  <si>
    <t>2个鸡蛋 + 400g酸奶 + 约30g麦片</t>
  </si>
  <si>
    <t>约520 kcal</t>
  </si>
  <si>
    <t>麦片重量不确定，模板默认30g，可在Daily_Log修改</t>
  </si>
  <si>
    <t>普通午晚合并餐</t>
  </si>
  <si>
    <t>魔芋丝150g + 米饭1份222kcal + 肉250g + 蔬菜250g</t>
  </si>
  <si>
    <t>约550到1000+ kcal</t>
  </si>
  <si>
    <t>关键变量是肉类脂肪含量</t>
  </si>
  <si>
    <t>香蕉</t>
  </si>
  <si>
    <t>餐前1根 + 运动后2根</t>
  </si>
  <si>
    <t>约270 kcal</t>
  </si>
  <si>
    <t>模板默认3根</t>
  </si>
  <si>
    <t>普通日总摄入</t>
  </si>
  <si>
    <t>基本无油，调味料3g以内</t>
  </si>
  <si>
    <t>约1500到1800 kcal</t>
  </si>
  <si>
    <t>肉偏瘦时可能更低</t>
  </si>
  <si>
    <t>跑步+力量消耗</t>
  </si>
  <si>
    <t>6.5km跑步 + 30min力量</t>
  </si>
  <si>
    <t>约500到750 kcal</t>
  </si>
  <si>
    <t>公式会随体重变化</t>
  </si>
  <si>
    <t>羽毛球消耗</t>
  </si>
  <si>
    <t>3.5小时中高强度单打</t>
  </si>
  <si>
    <t>约1200到2000+ kcal</t>
  </si>
  <si>
    <t>公式按7MET估算</t>
  </si>
  <si>
    <t>日期</t>
  </si>
  <si>
    <t>星期</t>
  </si>
  <si>
    <t>日类型</t>
  </si>
  <si>
    <t>鸡蛋 个</t>
  </si>
  <si>
    <t>酸奶 g</t>
  </si>
  <si>
    <t>麦片 g</t>
  </si>
  <si>
    <t>米饭 份</t>
  </si>
  <si>
    <t>魔芋丝 g</t>
  </si>
  <si>
    <t>蔬菜 g</t>
  </si>
  <si>
    <t>肉类</t>
  </si>
  <si>
    <t>肉 g</t>
  </si>
  <si>
    <t>香蕉 根</t>
  </si>
  <si>
    <t>额外/放纵 kcal</t>
  </si>
  <si>
    <t>鸡蛋 kcal</t>
  </si>
  <si>
    <t>酸奶 kcal</t>
  </si>
  <si>
    <t>麦片 kcal</t>
  </si>
  <si>
    <t>米饭 kcal</t>
  </si>
  <si>
    <t>魔芋 kcal</t>
  </si>
  <si>
    <t>蔬菜 kcal</t>
  </si>
  <si>
    <t>肉 kcal</t>
  </si>
  <si>
    <t>香蕉 kcal</t>
  </si>
  <si>
    <t>额外 kcal</t>
  </si>
  <si>
    <t>总摄入 kcal</t>
  </si>
  <si>
    <t>蛋白质 g</t>
  </si>
  <si>
    <t>脂肪 g</t>
  </si>
  <si>
    <t>碳水 g</t>
  </si>
  <si>
    <t>跑步 km</t>
  </si>
  <si>
    <t>力量训练 min</t>
  </si>
  <si>
    <t>波比 个</t>
  </si>
  <si>
    <t>羽毛球 h</t>
  </si>
  <si>
    <t>运动消耗 kcal</t>
  </si>
  <si>
    <t>BMR kcal</t>
  </si>
  <si>
    <t>总消耗 kcal</t>
  </si>
  <si>
    <t>净热量 kcal</t>
  </si>
  <si>
    <t>周五</t>
  </si>
  <si>
    <t>周五放纵/跑步+力量</t>
  </si>
  <si>
    <t>瘦牛肉</t>
  </si>
  <si>
    <t>周六</t>
  </si>
  <si>
    <t>羽毛球</t>
  </si>
  <si>
    <t>瘦猪肉</t>
  </si>
  <si>
    <t>周日</t>
  </si>
  <si>
    <t>鸡胸/瘦鸡肉</t>
  </si>
  <si>
    <t>周一</t>
  </si>
  <si>
    <t>跑步+力量</t>
  </si>
  <si>
    <t>羊肉</t>
  </si>
  <si>
    <t>周二</t>
  </si>
  <si>
    <t>周三</t>
  </si>
  <si>
    <t>周四</t>
  </si>
  <si>
    <t>体重 kg</t>
  </si>
  <si>
    <t>腰围 cm</t>
  </si>
  <si>
    <t>食物/项目</t>
  </si>
  <si>
    <t>单位</t>
  </si>
  <si>
    <t>每单位热量 kcal</t>
  </si>
  <si>
    <t>可调整</t>
  </si>
  <si>
    <t>来源/依据</t>
  </si>
  <si>
    <t>类别</t>
  </si>
  <si>
    <t>鸡蛋</t>
  </si>
  <si>
    <t>1个</t>
  </si>
  <si>
    <t>早餐默认2个</t>
  </si>
  <si>
    <t>可改</t>
  </si>
  <si>
    <t>常见中等鸡蛋估算</t>
  </si>
  <si>
    <t>蛋白/脂肪</t>
  </si>
  <si>
    <t>森永ビヒダスプレーンヨーグルト</t>
  </si>
  <si>
    <t>100g</t>
  </si>
  <si>
    <t>用户提供标签，400g=260kcal</t>
  </si>
  <si>
    <t>固定</t>
  </si>
  <si>
    <t>包装标签</t>
  </si>
  <si>
    <t>乳制品</t>
  </si>
  <si>
    <t>日食プレミアムピュアオートミール</t>
  </si>
  <si>
    <t>30g</t>
  </si>
  <si>
    <t>用户截图，重量不确定，默认30g</t>
  </si>
  <si>
    <t>包装截图和估算</t>
  </si>
  <si>
    <t>主食/谷物</t>
  </si>
  <si>
    <t>微波炉米饭</t>
  </si>
  <si>
    <t>1份</t>
  </si>
  <si>
    <t>用户确认一份222kcal</t>
  </si>
  <si>
    <t>用户提供</t>
  </si>
  <si>
    <t>主食</t>
  </si>
  <si>
    <t>魔芋丝</t>
  </si>
  <si>
    <t>150g约12kcal</t>
  </si>
  <si>
    <t>估算</t>
  </si>
  <si>
    <t>常见食品成分估算</t>
  </si>
  <si>
    <t>低热量</t>
  </si>
  <si>
    <t>白菜蘑菇等蔬菜</t>
  </si>
  <si>
    <t>250g以上约60kcal</t>
  </si>
  <si>
    <t>常见蔬菜估算</t>
  </si>
  <si>
    <t>蔬菜</t>
  </si>
  <si>
    <t>1根</t>
  </si>
  <si>
    <t>中等大小估算</t>
  </si>
  <si>
    <t>水果/碳水</t>
  </si>
  <si>
    <t>100g生重</t>
  </si>
  <si>
    <t>基本无油烹调</t>
  </si>
  <si>
    <t>鸡腿/普通鸡肉</t>
  </si>
  <si>
    <t>去皮/带皮差异大</t>
  </si>
  <si>
    <t>普通牛肉差异较大</t>
  </si>
  <si>
    <t>五花肉不要用这个</t>
  </si>
  <si>
    <t>羊肉片脂肪差异大</t>
  </si>
  <si>
    <t>肥牛/五花等肥肉</t>
  </si>
  <si>
    <t>只在明显肥肉时使用</t>
  </si>
  <si>
    <t>额外放纵餐</t>
  </si>
  <si>
    <t>kcal</t>
  </si>
  <si>
    <t>烤肉、炸鸡、汉堡等直接记录热量</t>
  </si>
  <si>
    <t>手填</t>
  </si>
  <si>
    <t>用户自行估算</t>
  </si>
  <si>
    <t>额外</t>
  </si>
  <si>
    <t>周开始</t>
  </si>
  <si>
    <t>平均体重 kg</t>
  </si>
  <si>
    <t>体重变化 kg</t>
  </si>
  <si>
    <t>使用说明</t>
  </si>
  <si>
    <t>1</t>
  </si>
  <si>
    <t>先到 Dashboard 填当前体重和BMR。你已给出BMR约1700kcal，模板已默认填入。</t>
  </si>
  <si>
    <t>2</t>
  </si>
  <si>
    <t>Daily_Log 中黄色列是建议手填项。肉类从下拉菜单选择，肉的克数和香蕉数量可按当天实际修改。</t>
  </si>
  <si>
    <t>3</t>
  </si>
  <si>
    <t>米饭按你确认的222kcal/份计算。如果当天不吃传统米饭，把米饭份数改成0，并把替代餐估算填到“额外/放纵 kcal”。</t>
  </si>
  <si>
    <t>4</t>
  </si>
  <si>
    <t>基本无油、调味料3g以内，所以模板未单独给油脂热量。如某天吃烤肉/炸鸡/汉堡，可直接在额外/放纵 kcal 填估算值。</t>
  </si>
  <si>
    <t>5</t>
  </si>
  <si>
    <t>运动消耗公式：跑步约=体重kg×公里数；力量=4MET；波比=8MET；羽毛球=7MET。都是估算值，不是医疗级测量。</t>
  </si>
  <si>
    <t>6</t>
  </si>
  <si>
    <t>Weight_Log 中只需要填体重，7日均重会自动计算，并自动画折线图。</t>
  </si>
  <si>
    <t>7</t>
  </si>
  <si>
    <t>Dashboard 已包含摄入/消耗曲线、食物结构柱状图、体重变化折线图。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</si>
</sst>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64E3B"/>
      <name val="Carlito"/>
    </font>
    <font>
      <b/>
      <sz val="11"/>
      <color rgb="FF134E4A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FEF3C7"/>
      </patternFill>
    </fill>
    <fill>
      <patternFill patternType="solid">
        <fgColor rgb="FFF0FDFA"/>
      </patternFill>
    </fill>
    <fill>
      <patternFill patternType="solid">
        <fgColor rgb="FF0F766E"/>
      </patternFill>
    </fill>
    <fill>
      <patternFill patternType="solid">
        <fgColor rgb="FFD1FAE5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76" fontId="1" fillId="2" borderId="0" xfId="1" applyNumberFormat="1" applyFont="1" applyFill="1" applyAlignment="1">
      <alignment horizontal="center" vertical="center" wrapText="1"/>
    </xf>
    <xf numFmtId="177" fontId="1" fillId="2" borderId="0" xfId="1" applyNumberFormat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1" fontId="1" fillId="3" borderId="0" xfId="1" applyNumberFormat="1" applyFont="1" applyFill="1" applyAlignment="1">
      <alignment horizontal="center" vertical="center" wrapText="1"/>
    </xf>
    <xf numFmtId="1" fontId="1" fillId="4" borderId="0" xfId="1" applyNumberFormat="1" applyFont="1" applyFill="1" applyAlignment="1">
      <alignment horizontal="center" vertical="center" wrapText="1"/>
    </xf>
    <xf numFmtId="177" fontId="1" fillId="4" borderId="0" xfId="1" applyNumberFormat="1" applyFont="1" applyFill="1" applyAlignment="1">
      <alignment horizontal="center" vertical="center" wrapText="1"/>
    </xf>
    <xf numFmtId="0" fontId="0" fillId="3" borderId="0" xfId="1" applyFont="1" applyFill="1"/>
    <xf numFmtId="0" fontId="0" fillId="4" borderId="0" xfId="1" applyFont="1" applyFill="1"/>
    <xf numFmtId="0" fontId="3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 wrapText="1"/>
    </xf>
    <xf numFmtId="176" fontId="0" fillId="4" borderId="0" xfId="1" applyNumberFormat="1" applyFont="1" applyFill="1"/>
    <xf numFmtId="177" fontId="0" fillId="4" borderId="0" xfId="1" applyNumberFormat="1" applyFont="1" applyFill="1"/>
    <xf numFmtId="177" fontId="4" fillId="7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5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">
    <dxf>
      <font>
        <color rgb="FFB91C1C"/>
      </font>
    </dxf>
    <dxf>
      <font>
        <color rgb="FF2563E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摄入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Daily_Log!$W$2:$W$61</c:f>
              <c:numCache>
                <c:formatCode>General</c:formatCode>
                <c:ptCount val="60"/>
                <c:pt idx="0">
                  <c:v>2637.5</c:v>
                </c:pt>
                <c:pt idx="1">
                  <c:v>1537.5</c:v>
                </c:pt>
                <c:pt idx="2">
                  <c:v>1387.5</c:v>
                </c:pt>
                <c:pt idx="3">
                  <c:v>1662.5</c:v>
                </c:pt>
                <c:pt idx="4">
                  <c:v>1637.5</c:v>
                </c:pt>
                <c:pt idx="5">
                  <c:v>1537.5</c:v>
                </c:pt>
                <c:pt idx="6">
                  <c:v>1387.5</c:v>
                </c:pt>
                <c:pt idx="7">
                  <c:v>2662.5</c:v>
                </c:pt>
                <c:pt idx="8">
                  <c:v>1637.5</c:v>
                </c:pt>
                <c:pt idx="9">
                  <c:v>1537.5</c:v>
                </c:pt>
                <c:pt idx="10">
                  <c:v>1387.5</c:v>
                </c:pt>
                <c:pt idx="11">
                  <c:v>1662.5</c:v>
                </c:pt>
                <c:pt idx="12">
                  <c:v>1637.5</c:v>
                </c:pt>
                <c:pt idx="13">
                  <c:v>1537.5</c:v>
                </c:pt>
                <c:pt idx="14">
                  <c:v>2387.5</c:v>
                </c:pt>
                <c:pt idx="15">
                  <c:v>1662.5</c:v>
                </c:pt>
                <c:pt idx="16">
                  <c:v>1637.5</c:v>
                </c:pt>
                <c:pt idx="17">
                  <c:v>1537.5</c:v>
                </c:pt>
                <c:pt idx="18">
                  <c:v>1387.5</c:v>
                </c:pt>
                <c:pt idx="19">
                  <c:v>1662.5</c:v>
                </c:pt>
                <c:pt idx="20">
                  <c:v>1637.5</c:v>
                </c:pt>
                <c:pt idx="21">
                  <c:v>2537.5</c:v>
                </c:pt>
                <c:pt idx="22">
                  <c:v>1387.5</c:v>
                </c:pt>
                <c:pt idx="23">
                  <c:v>1662.5</c:v>
                </c:pt>
                <c:pt idx="24">
                  <c:v>1637.5</c:v>
                </c:pt>
                <c:pt idx="25">
                  <c:v>1537.5</c:v>
                </c:pt>
                <c:pt idx="26">
                  <c:v>1387.5</c:v>
                </c:pt>
                <c:pt idx="27">
                  <c:v>1662.5</c:v>
                </c:pt>
                <c:pt idx="28">
                  <c:v>2637.5</c:v>
                </c:pt>
                <c:pt idx="29">
                  <c:v>1537.5</c:v>
                </c:pt>
                <c:pt idx="30">
                  <c:v>1387.5</c:v>
                </c:pt>
                <c:pt idx="31">
                  <c:v>1662.5</c:v>
                </c:pt>
                <c:pt idx="32">
                  <c:v>1637.5</c:v>
                </c:pt>
                <c:pt idx="33">
                  <c:v>1537.5</c:v>
                </c:pt>
                <c:pt idx="34">
                  <c:v>1387.5</c:v>
                </c:pt>
                <c:pt idx="35">
                  <c:v>2662.5</c:v>
                </c:pt>
                <c:pt idx="36">
                  <c:v>1637.5</c:v>
                </c:pt>
                <c:pt idx="37">
                  <c:v>1537.5</c:v>
                </c:pt>
                <c:pt idx="38">
                  <c:v>1387.5</c:v>
                </c:pt>
                <c:pt idx="39">
                  <c:v>1662.5</c:v>
                </c:pt>
                <c:pt idx="40">
                  <c:v>1637.5</c:v>
                </c:pt>
                <c:pt idx="41">
                  <c:v>1537.5</c:v>
                </c:pt>
                <c:pt idx="42">
                  <c:v>2387.5</c:v>
                </c:pt>
                <c:pt idx="43">
                  <c:v>1662.5</c:v>
                </c:pt>
                <c:pt idx="44">
                  <c:v>1637.5</c:v>
                </c:pt>
                <c:pt idx="45">
                  <c:v>1537.5</c:v>
                </c:pt>
                <c:pt idx="46">
                  <c:v>1387.5</c:v>
                </c:pt>
                <c:pt idx="47">
                  <c:v>1662.5</c:v>
                </c:pt>
                <c:pt idx="48">
                  <c:v>1637.5</c:v>
                </c:pt>
                <c:pt idx="49">
                  <c:v>2537.5</c:v>
                </c:pt>
                <c:pt idx="50">
                  <c:v>1387.5</c:v>
                </c:pt>
                <c:pt idx="51">
                  <c:v>1662.5</c:v>
                </c:pt>
                <c:pt idx="52">
                  <c:v>1637.5</c:v>
                </c:pt>
                <c:pt idx="53">
                  <c:v>1537.5</c:v>
                </c:pt>
                <c:pt idx="54">
                  <c:v>1387.5</c:v>
                </c:pt>
                <c:pt idx="55">
                  <c:v>1662.5</c:v>
                </c:pt>
                <c:pt idx="56">
                  <c:v>2637.5</c:v>
                </c:pt>
                <c:pt idx="57">
                  <c:v>1537.5</c:v>
                </c:pt>
                <c:pt idx="58">
                  <c:v>1387.5</c:v>
                </c:pt>
                <c:pt idx="59">
                  <c:v>1662.5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9-4BD7-AA63-F7F27675145C}"/>
            </c:ext>
          </c:extLst>
        </c:ser>
        <c:ser>
          <c:idx val="1"/>
          <c:order val="1"/>
          <c:tx>
            <c:v>总消耗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Daily_Log!$AG$2:$AG$61</c:f>
              <c:numCache>
                <c:formatCode>General</c:formatCode>
                <c:ptCount val="60"/>
                <c:pt idx="0">
                  <c:v>2720</c:v>
                </c:pt>
                <c:pt idx="1">
                  <c:v>4000</c:v>
                </c:pt>
                <c:pt idx="2">
                  <c:v>4000</c:v>
                </c:pt>
                <c:pt idx="3">
                  <c:v>2720</c:v>
                </c:pt>
                <c:pt idx="4">
                  <c:v>2720</c:v>
                </c:pt>
                <c:pt idx="5">
                  <c:v>2720</c:v>
                </c:pt>
                <c:pt idx="6">
                  <c:v>2720</c:v>
                </c:pt>
                <c:pt idx="7">
                  <c:v>2720</c:v>
                </c:pt>
                <c:pt idx="8">
                  <c:v>4000</c:v>
                </c:pt>
                <c:pt idx="9">
                  <c:v>4000</c:v>
                </c:pt>
                <c:pt idx="10">
                  <c:v>2720</c:v>
                </c:pt>
                <c:pt idx="11">
                  <c:v>2720</c:v>
                </c:pt>
                <c:pt idx="12">
                  <c:v>2720</c:v>
                </c:pt>
                <c:pt idx="13">
                  <c:v>2720</c:v>
                </c:pt>
                <c:pt idx="14">
                  <c:v>2720</c:v>
                </c:pt>
                <c:pt idx="15">
                  <c:v>4000</c:v>
                </c:pt>
                <c:pt idx="16">
                  <c:v>4000</c:v>
                </c:pt>
                <c:pt idx="17">
                  <c:v>2720</c:v>
                </c:pt>
                <c:pt idx="18">
                  <c:v>2720</c:v>
                </c:pt>
                <c:pt idx="19">
                  <c:v>2720</c:v>
                </c:pt>
                <c:pt idx="20">
                  <c:v>2720</c:v>
                </c:pt>
                <c:pt idx="21">
                  <c:v>2720</c:v>
                </c:pt>
                <c:pt idx="22">
                  <c:v>4000</c:v>
                </c:pt>
                <c:pt idx="23">
                  <c:v>4000</c:v>
                </c:pt>
                <c:pt idx="24">
                  <c:v>2720</c:v>
                </c:pt>
                <c:pt idx="25">
                  <c:v>2720</c:v>
                </c:pt>
                <c:pt idx="26">
                  <c:v>2720</c:v>
                </c:pt>
                <c:pt idx="27">
                  <c:v>2720</c:v>
                </c:pt>
                <c:pt idx="28">
                  <c:v>2720</c:v>
                </c:pt>
                <c:pt idx="29">
                  <c:v>4000</c:v>
                </c:pt>
                <c:pt idx="30">
                  <c:v>4000</c:v>
                </c:pt>
                <c:pt idx="31">
                  <c:v>2720</c:v>
                </c:pt>
                <c:pt idx="32">
                  <c:v>2720</c:v>
                </c:pt>
                <c:pt idx="33">
                  <c:v>2720</c:v>
                </c:pt>
                <c:pt idx="34">
                  <c:v>2720</c:v>
                </c:pt>
                <c:pt idx="35">
                  <c:v>2720</c:v>
                </c:pt>
                <c:pt idx="36">
                  <c:v>4000</c:v>
                </c:pt>
                <c:pt idx="37">
                  <c:v>4000</c:v>
                </c:pt>
                <c:pt idx="38">
                  <c:v>2720</c:v>
                </c:pt>
                <c:pt idx="39">
                  <c:v>2720</c:v>
                </c:pt>
                <c:pt idx="40">
                  <c:v>2720</c:v>
                </c:pt>
                <c:pt idx="41">
                  <c:v>2720</c:v>
                </c:pt>
                <c:pt idx="42">
                  <c:v>2720</c:v>
                </c:pt>
                <c:pt idx="43">
                  <c:v>4000</c:v>
                </c:pt>
                <c:pt idx="44">
                  <c:v>4000</c:v>
                </c:pt>
                <c:pt idx="45">
                  <c:v>2720</c:v>
                </c:pt>
                <c:pt idx="46">
                  <c:v>2720</c:v>
                </c:pt>
                <c:pt idx="47">
                  <c:v>2720</c:v>
                </c:pt>
                <c:pt idx="48">
                  <c:v>2720</c:v>
                </c:pt>
                <c:pt idx="49">
                  <c:v>2720</c:v>
                </c:pt>
                <c:pt idx="50">
                  <c:v>4000</c:v>
                </c:pt>
                <c:pt idx="51">
                  <c:v>4000</c:v>
                </c:pt>
                <c:pt idx="52">
                  <c:v>2720</c:v>
                </c:pt>
                <c:pt idx="53">
                  <c:v>2720</c:v>
                </c:pt>
                <c:pt idx="54">
                  <c:v>2720</c:v>
                </c:pt>
                <c:pt idx="55">
                  <c:v>2720</c:v>
                </c:pt>
                <c:pt idx="56">
                  <c:v>2720</c:v>
                </c:pt>
                <c:pt idx="57">
                  <c:v>4000</c:v>
                </c:pt>
                <c:pt idx="58">
                  <c:v>4000</c:v>
                </c:pt>
                <c:pt idx="59">
                  <c:v>2720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9-4BD7-AA63-F7F27675145C}"/>
            </c:ext>
          </c:extLst>
        </c:ser>
        <c:ser>
          <c:idx val="2"/>
          <c:order val="2"/>
          <c:tx>
            <c:v>净热量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Daily_Log!$AH$2:$AH$61</c:f>
              <c:numCache>
                <c:formatCode>General</c:formatCode>
                <c:ptCount val="60"/>
                <c:pt idx="0">
                  <c:v>-82.5</c:v>
                </c:pt>
                <c:pt idx="1">
                  <c:v>-2462.5</c:v>
                </c:pt>
                <c:pt idx="2">
                  <c:v>-2612.5</c:v>
                </c:pt>
                <c:pt idx="3">
                  <c:v>-1057.5</c:v>
                </c:pt>
                <c:pt idx="4">
                  <c:v>-1082.5</c:v>
                </c:pt>
                <c:pt idx="5">
                  <c:v>-1182.5</c:v>
                </c:pt>
                <c:pt idx="6">
                  <c:v>-1332.5</c:v>
                </c:pt>
                <c:pt idx="7">
                  <c:v>-57.5</c:v>
                </c:pt>
                <c:pt idx="8">
                  <c:v>-2362.5</c:v>
                </c:pt>
                <c:pt idx="9">
                  <c:v>-2462.5</c:v>
                </c:pt>
                <c:pt idx="10">
                  <c:v>-1332.5</c:v>
                </c:pt>
                <c:pt idx="11">
                  <c:v>-1057.5</c:v>
                </c:pt>
                <c:pt idx="12">
                  <c:v>-1082.5</c:v>
                </c:pt>
                <c:pt idx="13">
                  <c:v>-1182.5</c:v>
                </c:pt>
                <c:pt idx="14">
                  <c:v>-332.5</c:v>
                </c:pt>
                <c:pt idx="15">
                  <c:v>-2337.5</c:v>
                </c:pt>
                <c:pt idx="16">
                  <c:v>-2362.5</c:v>
                </c:pt>
                <c:pt idx="17">
                  <c:v>-1182.5</c:v>
                </c:pt>
                <c:pt idx="18">
                  <c:v>-1332.5</c:v>
                </c:pt>
                <c:pt idx="19">
                  <c:v>-1057.5</c:v>
                </c:pt>
                <c:pt idx="20">
                  <c:v>-1082.5</c:v>
                </c:pt>
                <c:pt idx="21">
                  <c:v>-182.5</c:v>
                </c:pt>
                <c:pt idx="22">
                  <c:v>-2612.5</c:v>
                </c:pt>
                <c:pt idx="23">
                  <c:v>-2337.5</c:v>
                </c:pt>
                <c:pt idx="24">
                  <c:v>-1082.5</c:v>
                </c:pt>
                <c:pt idx="25">
                  <c:v>-1182.5</c:v>
                </c:pt>
                <c:pt idx="26">
                  <c:v>-1332.5</c:v>
                </c:pt>
                <c:pt idx="27">
                  <c:v>-1057.5</c:v>
                </c:pt>
                <c:pt idx="28">
                  <c:v>-82.5</c:v>
                </c:pt>
                <c:pt idx="29">
                  <c:v>-2462.5</c:v>
                </c:pt>
                <c:pt idx="30">
                  <c:v>-2612.5</c:v>
                </c:pt>
                <c:pt idx="31">
                  <c:v>-1057.5</c:v>
                </c:pt>
                <c:pt idx="32">
                  <c:v>-1082.5</c:v>
                </c:pt>
                <c:pt idx="33">
                  <c:v>-1182.5</c:v>
                </c:pt>
                <c:pt idx="34">
                  <c:v>-1332.5</c:v>
                </c:pt>
                <c:pt idx="35">
                  <c:v>-57.5</c:v>
                </c:pt>
                <c:pt idx="36">
                  <c:v>-2362.5</c:v>
                </c:pt>
                <c:pt idx="37">
                  <c:v>-2462.5</c:v>
                </c:pt>
                <c:pt idx="38">
                  <c:v>-1332.5</c:v>
                </c:pt>
                <c:pt idx="39">
                  <c:v>-1057.5</c:v>
                </c:pt>
                <c:pt idx="40">
                  <c:v>-1082.5</c:v>
                </c:pt>
                <c:pt idx="41">
                  <c:v>-1182.5</c:v>
                </c:pt>
                <c:pt idx="42">
                  <c:v>-332.5</c:v>
                </c:pt>
                <c:pt idx="43">
                  <c:v>-2337.5</c:v>
                </c:pt>
                <c:pt idx="44">
                  <c:v>-2362.5</c:v>
                </c:pt>
                <c:pt idx="45">
                  <c:v>-1182.5</c:v>
                </c:pt>
                <c:pt idx="46">
                  <c:v>-1332.5</c:v>
                </c:pt>
                <c:pt idx="47">
                  <c:v>-1057.5</c:v>
                </c:pt>
                <c:pt idx="48">
                  <c:v>-1082.5</c:v>
                </c:pt>
                <c:pt idx="49">
                  <c:v>-182.5</c:v>
                </c:pt>
                <c:pt idx="50">
                  <c:v>-2612.5</c:v>
                </c:pt>
                <c:pt idx="51">
                  <c:v>-2337.5</c:v>
                </c:pt>
                <c:pt idx="52">
                  <c:v>-1082.5</c:v>
                </c:pt>
                <c:pt idx="53">
                  <c:v>-1182.5</c:v>
                </c:pt>
                <c:pt idx="54">
                  <c:v>-1332.5</c:v>
                </c:pt>
                <c:pt idx="55">
                  <c:v>-1057.5</c:v>
                </c:pt>
                <c:pt idx="56">
                  <c:v>-82.5</c:v>
                </c:pt>
                <c:pt idx="57">
                  <c:v>-2462.5</c:v>
                </c:pt>
                <c:pt idx="58">
                  <c:v>-2612.5</c:v>
                </c:pt>
                <c:pt idx="59">
                  <c:v>-1057.5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9-4BD7-AA63-F7F27675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ja-JP" altLang="en-US"/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鸡蛋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Daily_Log!$N$2:$N$31</c:f>
              <c:numCache>
                <c:formatCode>General</c:formatCode>
                <c:ptCount val="3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0-46E5-8EFD-B9F3B80B0DC7}"/>
            </c:ext>
          </c:extLst>
        </c:ser>
        <c:ser>
          <c:idx val="1"/>
          <c:order val="1"/>
          <c:tx>
            <c:v>酸奶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Daily_Log!$O$2:$O$31</c:f>
              <c:numCache>
                <c:formatCode>General</c:formatCode>
                <c:ptCount val="30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260</c:v>
                </c:pt>
                <c:pt idx="8">
                  <c:v>260</c:v>
                </c:pt>
                <c:pt idx="9">
                  <c:v>260</c:v>
                </c:pt>
                <c:pt idx="10">
                  <c:v>260</c:v>
                </c:pt>
                <c:pt idx="11">
                  <c:v>260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260</c:v>
                </c:pt>
                <c:pt idx="16">
                  <c:v>260</c:v>
                </c:pt>
                <c:pt idx="17">
                  <c:v>260</c:v>
                </c:pt>
                <c:pt idx="18">
                  <c:v>260</c:v>
                </c:pt>
                <c:pt idx="19">
                  <c:v>260</c:v>
                </c:pt>
                <c:pt idx="20">
                  <c:v>260</c:v>
                </c:pt>
                <c:pt idx="21">
                  <c:v>260</c:v>
                </c:pt>
                <c:pt idx="22">
                  <c:v>260</c:v>
                </c:pt>
                <c:pt idx="23">
                  <c:v>260</c:v>
                </c:pt>
                <c:pt idx="24">
                  <c:v>260</c:v>
                </c:pt>
                <c:pt idx="25">
                  <c:v>260</c:v>
                </c:pt>
                <c:pt idx="26">
                  <c:v>260</c:v>
                </c:pt>
                <c:pt idx="27">
                  <c:v>260</c:v>
                </c:pt>
                <c:pt idx="28">
                  <c:v>260</c:v>
                </c:pt>
                <c:pt idx="2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0-46E5-8EFD-B9F3B80B0DC7}"/>
            </c:ext>
          </c:extLst>
        </c:ser>
        <c:ser>
          <c:idx val="2"/>
          <c:order val="2"/>
          <c:tx>
            <c:v>麦片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Daily_Log!$P$2:$P$31</c:f>
              <c:numCache>
                <c:formatCode>General</c:formatCode>
                <c:ptCount val="30"/>
                <c:pt idx="0">
                  <c:v>111</c:v>
                </c:pt>
                <c:pt idx="1">
                  <c:v>111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111</c:v>
                </c:pt>
                <c:pt idx="21">
                  <c:v>111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  <c:pt idx="26">
                  <c:v>111</c:v>
                </c:pt>
                <c:pt idx="27">
                  <c:v>111</c:v>
                </c:pt>
                <c:pt idx="28">
                  <c:v>111</c:v>
                </c:pt>
                <c:pt idx="29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90-46E5-8EFD-B9F3B80B0DC7}"/>
            </c:ext>
          </c:extLst>
        </c:ser>
        <c:ser>
          <c:idx val="3"/>
          <c:order val="3"/>
          <c:tx>
            <c:v>米饭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Daily_Log!$Q$2:$Q$31</c:f>
              <c:numCache>
                <c:formatCode>General</c:formatCode>
                <c:ptCount val="30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222</c:v>
                </c:pt>
                <c:pt idx="7">
                  <c:v>222</c:v>
                </c:pt>
                <c:pt idx="8">
                  <c:v>222</c:v>
                </c:pt>
                <c:pt idx="9">
                  <c:v>222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  <c:pt idx="13">
                  <c:v>222</c:v>
                </c:pt>
                <c:pt idx="14">
                  <c:v>222</c:v>
                </c:pt>
                <c:pt idx="15">
                  <c:v>222</c:v>
                </c:pt>
                <c:pt idx="16">
                  <c:v>222</c:v>
                </c:pt>
                <c:pt idx="17">
                  <c:v>222</c:v>
                </c:pt>
                <c:pt idx="18">
                  <c:v>222</c:v>
                </c:pt>
                <c:pt idx="19">
                  <c:v>222</c:v>
                </c:pt>
                <c:pt idx="20">
                  <c:v>222</c:v>
                </c:pt>
                <c:pt idx="21">
                  <c:v>222</c:v>
                </c:pt>
                <c:pt idx="22">
                  <c:v>222</c:v>
                </c:pt>
                <c:pt idx="23">
                  <c:v>222</c:v>
                </c:pt>
                <c:pt idx="24">
                  <c:v>222</c:v>
                </c:pt>
                <c:pt idx="25">
                  <c:v>222</c:v>
                </c:pt>
                <c:pt idx="26">
                  <c:v>222</c:v>
                </c:pt>
                <c:pt idx="27">
                  <c:v>222</c:v>
                </c:pt>
                <c:pt idx="28">
                  <c:v>222</c:v>
                </c:pt>
                <c:pt idx="29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90-46E5-8EFD-B9F3B80B0DC7}"/>
            </c:ext>
          </c:extLst>
        </c:ser>
        <c:ser>
          <c:idx val="4"/>
          <c:order val="4"/>
          <c:tx>
            <c:v>魔芋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Daily_Log!$R$2:$R$31</c:f>
              <c:numCache>
                <c:formatCode>General</c:formatCode>
                <c:ptCount val="3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90-46E5-8EFD-B9F3B80B0DC7}"/>
            </c:ext>
          </c:extLst>
        </c:ser>
        <c:ser>
          <c:idx val="5"/>
          <c:order val="5"/>
          <c:tx>
            <c:v>蔬菜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Daily_Log!$S$2:$S$31</c:f>
              <c:numCache>
                <c:formatCode>General</c:formatCode>
                <c:ptCount val="30"/>
                <c:pt idx="0">
                  <c:v>62.5</c:v>
                </c:pt>
                <c:pt idx="1">
                  <c:v>62.5</c:v>
                </c:pt>
                <c:pt idx="2">
                  <c:v>62.5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62.5</c:v>
                </c:pt>
                <c:pt idx="8">
                  <c:v>62.5</c:v>
                </c:pt>
                <c:pt idx="9">
                  <c:v>62.5</c:v>
                </c:pt>
                <c:pt idx="10">
                  <c:v>62.5</c:v>
                </c:pt>
                <c:pt idx="11">
                  <c:v>62.5</c:v>
                </c:pt>
                <c:pt idx="12">
                  <c:v>62.5</c:v>
                </c:pt>
                <c:pt idx="13">
                  <c:v>62.5</c:v>
                </c:pt>
                <c:pt idx="14">
                  <c:v>62.5</c:v>
                </c:pt>
                <c:pt idx="15">
                  <c:v>62.5</c:v>
                </c:pt>
                <c:pt idx="16">
                  <c:v>62.5</c:v>
                </c:pt>
                <c:pt idx="17">
                  <c:v>62.5</c:v>
                </c:pt>
                <c:pt idx="18">
                  <c:v>62.5</c:v>
                </c:pt>
                <c:pt idx="19">
                  <c:v>62.5</c:v>
                </c:pt>
                <c:pt idx="20">
                  <c:v>62.5</c:v>
                </c:pt>
                <c:pt idx="21">
                  <c:v>62.5</c:v>
                </c:pt>
                <c:pt idx="22">
                  <c:v>62.5</c:v>
                </c:pt>
                <c:pt idx="23">
                  <c:v>62.5</c:v>
                </c:pt>
                <c:pt idx="24">
                  <c:v>62.5</c:v>
                </c:pt>
                <c:pt idx="25">
                  <c:v>62.5</c:v>
                </c:pt>
                <c:pt idx="26">
                  <c:v>62.5</c:v>
                </c:pt>
                <c:pt idx="27">
                  <c:v>62.5</c:v>
                </c:pt>
                <c:pt idx="28">
                  <c:v>62.5</c:v>
                </c:pt>
                <c:pt idx="29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90-46E5-8EFD-B9F3B80B0DC7}"/>
            </c:ext>
          </c:extLst>
        </c:ser>
        <c:ser>
          <c:idx val="6"/>
          <c:order val="6"/>
          <c:tx>
            <c:v>肉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Daily_Log!$T$2:$T$31</c:f>
              <c:numCache>
                <c:formatCode>General</c:formatCode>
                <c:ptCount val="30"/>
                <c:pt idx="0">
                  <c:v>550</c:v>
                </c:pt>
                <c:pt idx="1">
                  <c:v>450</c:v>
                </c:pt>
                <c:pt idx="2">
                  <c:v>300</c:v>
                </c:pt>
                <c:pt idx="3">
                  <c:v>575</c:v>
                </c:pt>
                <c:pt idx="4">
                  <c:v>550</c:v>
                </c:pt>
                <c:pt idx="5">
                  <c:v>450</c:v>
                </c:pt>
                <c:pt idx="6">
                  <c:v>300</c:v>
                </c:pt>
                <c:pt idx="7">
                  <c:v>575</c:v>
                </c:pt>
                <c:pt idx="8">
                  <c:v>550</c:v>
                </c:pt>
                <c:pt idx="9">
                  <c:v>450</c:v>
                </c:pt>
                <c:pt idx="10">
                  <c:v>300</c:v>
                </c:pt>
                <c:pt idx="11">
                  <c:v>575</c:v>
                </c:pt>
                <c:pt idx="12">
                  <c:v>550</c:v>
                </c:pt>
                <c:pt idx="13">
                  <c:v>450</c:v>
                </c:pt>
                <c:pt idx="14">
                  <c:v>300</c:v>
                </c:pt>
                <c:pt idx="15">
                  <c:v>575</c:v>
                </c:pt>
                <c:pt idx="16">
                  <c:v>550</c:v>
                </c:pt>
                <c:pt idx="17">
                  <c:v>450</c:v>
                </c:pt>
                <c:pt idx="18">
                  <c:v>300</c:v>
                </c:pt>
                <c:pt idx="19">
                  <c:v>575</c:v>
                </c:pt>
                <c:pt idx="20">
                  <c:v>550</c:v>
                </c:pt>
                <c:pt idx="21">
                  <c:v>450</c:v>
                </c:pt>
                <c:pt idx="22">
                  <c:v>300</c:v>
                </c:pt>
                <c:pt idx="23">
                  <c:v>575</c:v>
                </c:pt>
                <c:pt idx="24">
                  <c:v>550</c:v>
                </c:pt>
                <c:pt idx="25">
                  <c:v>450</c:v>
                </c:pt>
                <c:pt idx="26">
                  <c:v>300</c:v>
                </c:pt>
                <c:pt idx="27">
                  <c:v>575</c:v>
                </c:pt>
                <c:pt idx="28">
                  <c:v>550</c:v>
                </c:pt>
                <c:pt idx="2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0-46E5-8EFD-B9F3B80B0DC7}"/>
            </c:ext>
          </c:extLst>
        </c:ser>
        <c:ser>
          <c:idx val="7"/>
          <c:order val="7"/>
          <c:tx>
            <c:v>香蕉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Daily_Log!$U$2:$U$31</c:f>
              <c:numCache>
                <c:formatCode>General</c:formatCode>
                <c:ptCount val="30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270</c:v>
                </c:pt>
                <c:pt idx="23">
                  <c:v>270</c:v>
                </c:pt>
                <c:pt idx="24">
                  <c:v>270</c:v>
                </c:pt>
                <c:pt idx="25">
                  <c:v>270</c:v>
                </c:pt>
                <c:pt idx="26">
                  <c:v>270</c:v>
                </c:pt>
                <c:pt idx="27">
                  <c:v>270</c:v>
                </c:pt>
                <c:pt idx="28">
                  <c:v>270</c:v>
                </c:pt>
                <c:pt idx="29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90-46E5-8EFD-B9F3B80B0DC7}"/>
            </c:ext>
          </c:extLst>
        </c:ser>
        <c:ser>
          <c:idx val="8"/>
          <c:order val="8"/>
          <c:tx>
            <c:v>额外</c:v>
          </c:tx>
          <c:invertIfNegative val="1"/>
          <c:cat>
            <c:numRef>
              <c:f>Daily_Log!$A$2:$A$31</c:f>
              <c:numCache>
                <c:formatCode>General</c:formatCode>
                <c:ptCount val="3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</c:numCache>
            </c:numRef>
          </c:cat>
          <c:val>
            <c:numRef>
              <c:f>Daily_Log!$V$2:$V$31</c:f>
              <c:numCache>
                <c:formatCode>General</c:formatCode>
                <c:ptCount val="30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1000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90-46E5-8EFD-B9F3B80B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ja-JP" altLang="en-US"/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2700000" anchorCtr="1"/>
          <a:lstStyle/>
          <a:p>
            <a:pPr>
              <a:defRPr sz="675"/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体重</c:v>
          </c:tx>
          <c:cat>
            <c:numRef>
              <c:f>Weight_Log!$A$2:$A$121</c:f>
              <c:numCache>
                <c:formatCode>General</c:formatCode>
                <c:ptCount val="12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  <c:pt idx="87">
                  <c:v>46265</c:v>
                </c:pt>
                <c:pt idx="88">
                  <c:v>46266</c:v>
                </c:pt>
                <c:pt idx="89">
                  <c:v>46267</c:v>
                </c:pt>
                <c:pt idx="90">
                  <c:v>46268</c:v>
                </c:pt>
                <c:pt idx="91">
                  <c:v>46269</c:v>
                </c:pt>
                <c:pt idx="92">
                  <c:v>46270</c:v>
                </c:pt>
                <c:pt idx="93">
                  <c:v>46271</c:v>
                </c:pt>
                <c:pt idx="94">
                  <c:v>46272</c:v>
                </c:pt>
                <c:pt idx="95">
                  <c:v>46273</c:v>
                </c:pt>
                <c:pt idx="96">
                  <c:v>46274</c:v>
                </c:pt>
                <c:pt idx="97">
                  <c:v>46275</c:v>
                </c:pt>
                <c:pt idx="98">
                  <c:v>46276</c:v>
                </c:pt>
                <c:pt idx="99">
                  <c:v>46277</c:v>
                </c:pt>
                <c:pt idx="100">
                  <c:v>46278</c:v>
                </c:pt>
                <c:pt idx="101">
                  <c:v>46279</c:v>
                </c:pt>
                <c:pt idx="102">
                  <c:v>46280</c:v>
                </c:pt>
                <c:pt idx="103">
                  <c:v>46281</c:v>
                </c:pt>
                <c:pt idx="104">
                  <c:v>46282</c:v>
                </c:pt>
                <c:pt idx="105">
                  <c:v>46283</c:v>
                </c:pt>
                <c:pt idx="106">
                  <c:v>46284</c:v>
                </c:pt>
                <c:pt idx="107">
                  <c:v>46285</c:v>
                </c:pt>
                <c:pt idx="108">
                  <c:v>46286</c:v>
                </c:pt>
                <c:pt idx="109">
                  <c:v>46287</c:v>
                </c:pt>
                <c:pt idx="110">
                  <c:v>46288</c:v>
                </c:pt>
                <c:pt idx="111">
                  <c:v>46289</c:v>
                </c:pt>
                <c:pt idx="112">
                  <c:v>46290</c:v>
                </c:pt>
                <c:pt idx="113">
                  <c:v>46291</c:v>
                </c:pt>
                <c:pt idx="114">
                  <c:v>46292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  <c:pt idx="118">
                  <c:v>46296</c:v>
                </c:pt>
                <c:pt idx="119">
                  <c:v>46297</c:v>
                </c:pt>
              </c:numCache>
            </c:numRef>
          </c:cat>
          <c:val>
            <c:numRef>
              <c:f>Weight_Log!$B$2:$B$121</c:f>
              <c:numCache>
                <c:formatCode>General</c:formatCode>
                <c:ptCount val="120"/>
                <c:pt idx="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3-471C-B3C7-7764076D6287}"/>
            </c:ext>
          </c:extLst>
        </c:ser>
        <c:ser>
          <c:idx val="1"/>
          <c:order val="1"/>
          <c:tx>
            <c:v>7日均重</c:v>
          </c:tx>
          <c:cat>
            <c:numRef>
              <c:f>Weight_Log!$A$2:$A$121</c:f>
              <c:numCache>
                <c:formatCode>General</c:formatCode>
                <c:ptCount val="12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  <c:pt idx="87">
                  <c:v>46265</c:v>
                </c:pt>
                <c:pt idx="88">
                  <c:v>46266</c:v>
                </c:pt>
                <c:pt idx="89">
                  <c:v>46267</c:v>
                </c:pt>
                <c:pt idx="90">
                  <c:v>46268</c:v>
                </c:pt>
                <c:pt idx="91">
                  <c:v>46269</c:v>
                </c:pt>
                <c:pt idx="92">
                  <c:v>46270</c:v>
                </c:pt>
                <c:pt idx="93">
                  <c:v>46271</c:v>
                </c:pt>
                <c:pt idx="94">
                  <c:v>46272</c:v>
                </c:pt>
                <c:pt idx="95">
                  <c:v>46273</c:v>
                </c:pt>
                <c:pt idx="96">
                  <c:v>46274</c:v>
                </c:pt>
                <c:pt idx="97">
                  <c:v>46275</c:v>
                </c:pt>
                <c:pt idx="98">
                  <c:v>46276</c:v>
                </c:pt>
                <c:pt idx="99">
                  <c:v>46277</c:v>
                </c:pt>
                <c:pt idx="100">
                  <c:v>46278</c:v>
                </c:pt>
                <c:pt idx="101">
                  <c:v>46279</c:v>
                </c:pt>
                <c:pt idx="102">
                  <c:v>46280</c:v>
                </c:pt>
                <c:pt idx="103">
                  <c:v>46281</c:v>
                </c:pt>
                <c:pt idx="104">
                  <c:v>46282</c:v>
                </c:pt>
                <c:pt idx="105">
                  <c:v>46283</c:v>
                </c:pt>
                <c:pt idx="106">
                  <c:v>46284</c:v>
                </c:pt>
                <c:pt idx="107">
                  <c:v>46285</c:v>
                </c:pt>
                <c:pt idx="108">
                  <c:v>46286</c:v>
                </c:pt>
                <c:pt idx="109">
                  <c:v>46287</c:v>
                </c:pt>
                <c:pt idx="110">
                  <c:v>46288</c:v>
                </c:pt>
                <c:pt idx="111">
                  <c:v>46289</c:v>
                </c:pt>
                <c:pt idx="112">
                  <c:v>46290</c:v>
                </c:pt>
                <c:pt idx="113">
                  <c:v>46291</c:v>
                </c:pt>
                <c:pt idx="114">
                  <c:v>46292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  <c:pt idx="118">
                  <c:v>46296</c:v>
                </c:pt>
                <c:pt idx="119">
                  <c:v>46297</c:v>
                </c:pt>
              </c:numCache>
            </c:numRef>
          </c:cat>
          <c:val>
            <c:numRef>
              <c:f>Weight_Log!$C$2:$C$121</c:f>
              <c:numCache>
                <c:formatCode>General</c:formatCode>
                <c:ptCount val="1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3-471C-B3C7-7764076D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ja-JP" altLang="en-US"/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总摄入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Daily_Log!$W$2:$W$61</c:f>
              <c:numCache>
                <c:formatCode>General</c:formatCode>
                <c:ptCount val="60"/>
                <c:pt idx="0">
                  <c:v>2637.5</c:v>
                </c:pt>
                <c:pt idx="1">
                  <c:v>1537.5</c:v>
                </c:pt>
                <c:pt idx="2">
                  <c:v>1387.5</c:v>
                </c:pt>
                <c:pt idx="3">
                  <c:v>1662.5</c:v>
                </c:pt>
                <c:pt idx="4">
                  <c:v>1637.5</c:v>
                </c:pt>
                <c:pt idx="5">
                  <c:v>1537.5</c:v>
                </c:pt>
                <c:pt idx="6">
                  <c:v>1387.5</c:v>
                </c:pt>
                <c:pt idx="7">
                  <c:v>2662.5</c:v>
                </c:pt>
                <c:pt idx="8">
                  <c:v>1637.5</c:v>
                </c:pt>
                <c:pt idx="9">
                  <c:v>1537.5</c:v>
                </c:pt>
                <c:pt idx="10">
                  <c:v>1387.5</c:v>
                </c:pt>
                <c:pt idx="11">
                  <c:v>1662.5</c:v>
                </c:pt>
                <c:pt idx="12">
                  <c:v>1637.5</c:v>
                </c:pt>
                <c:pt idx="13">
                  <c:v>1537.5</c:v>
                </c:pt>
                <c:pt idx="14">
                  <c:v>2387.5</c:v>
                </c:pt>
                <c:pt idx="15">
                  <c:v>1662.5</c:v>
                </c:pt>
                <c:pt idx="16">
                  <c:v>1637.5</c:v>
                </c:pt>
                <c:pt idx="17">
                  <c:v>1537.5</c:v>
                </c:pt>
                <c:pt idx="18">
                  <c:v>1387.5</c:v>
                </c:pt>
                <c:pt idx="19">
                  <c:v>1662.5</c:v>
                </c:pt>
                <c:pt idx="20">
                  <c:v>1637.5</c:v>
                </c:pt>
                <c:pt idx="21">
                  <c:v>2537.5</c:v>
                </c:pt>
                <c:pt idx="22">
                  <c:v>1387.5</c:v>
                </c:pt>
                <c:pt idx="23">
                  <c:v>1662.5</c:v>
                </c:pt>
                <c:pt idx="24">
                  <c:v>1637.5</c:v>
                </c:pt>
                <c:pt idx="25">
                  <c:v>1537.5</c:v>
                </c:pt>
                <c:pt idx="26">
                  <c:v>1387.5</c:v>
                </c:pt>
                <c:pt idx="27">
                  <c:v>1662.5</c:v>
                </c:pt>
                <c:pt idx="28">
                  <c:v>2637.5</c:v>
                </c:pt>
                <c:pt idx="29">
                  <c:v>1537.5</c:v>
                </c:pt>
                <c:pt idx="30">
                  <c:v>1387.5</c:v>
                </c:pt>
                <c:pt idx="31">
                  <c:v>1662.5</c:v>
                </c:pt>
                <c:pt idx="32">
                  <c:v>1637.5</c:v>
                </c:pt>
                <c:pt idx="33">
                  <c:v>1537.5</c:v>
                </c:pt>
                <c:pt idx="34">
                  <c:v>1387.5</c:v>
                </c:pt>
                <c:pt idx="35">
                  <c:v>2662.5</c:v>
                </c:pt>
                <c:pt idx="36">
                  <c:v>1637.5</c:v>
                </c:pt>
                <c:pt idx="37">
                  <c:v>1537.5</c:v>
                </c:pt>
                <c:pt idx="38">
                  <c:v>1387.5</c:v>
                </c:pt>
                <c:pt idx="39">
                  <c:v>1662.5</c:v>
                </c:pt>
                <c:pt idx="40">
                  <c:v>1637.5</c:v>
                </c:pt>
                <c:pt idx="41">
                  <c:v>1537.5</c:v>
                </c:pt>
                <c:pt idx="42">
                  <c:v>2387.5</c:v>
                </c:pt>
                <c:pt idx="43">
                  <c:v>1662.5</c:v>
                </c:pt>
                <c:pt idx="44">
                  <c:v>1637.5</c:v>
                </c:pt>
                <c:pt idx="45">
                  <c:v>1537.5</c:v>
                </c:pt>
                <c:pt idx="46">
                  <c:v>1387.5</c:v>
                </c:pt>
                <c:pt idx="47">
                  <c:v>1662.5</c:v>
                </c:pt>
                <c:pt idx="48">
                  <c:v>1637.5</c:v>
                </c:pt>
                <c:pt idx="49">
                  <c:v>2537.5</c:v>
                </c:pt>
                <c:pt idx="50">
                  <c:v>1387.5</c:v>
                </c:pt>
                <c:pt idx="51">
                  <c:v>1662.5</c:v>
                </c:pt>
                <c:pt idx="52">
                  <c:v>1637.5</c:v>
                </c:pt>
                <c:pt idx="53">
                  <c:v>1537.5</c:v>
                </c:pt>
                <c:pt idx="54">
                  <c:v>1387.5</c:v>
                </c:pt>
                <c:pt idx="55">
                  <c:v>1662.5</c:v>
                </c:pt>
                <c:pt idx="56">
                  <c:v>2637.5</c:v>
                </c:pt>
                <c:pt idx="57">
                  <c:v>1537.5</c:v>
                </c:pt>
                <c:pt idx="58">
                  <c:v>1387.5</c:v>
                </c:pt>
                <c:pt idx="59">
                  <c:v>1662.5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D-4323-BED5-C507FF028F13}"/>
            </c:ext>
          </c:extLst>
        </c:ser>
        <c:ser>
          <c:idx val="1"/>
          <c:order val="1"/>
          <c:tx>
            <c:v>总消耗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Daily_Log!$AG$2:$AG$61</c:f>
              <c:numCache>
                <c:formatCode>General</c:formatCode>
                <c:ptCount val="60"/>
                <c:pt idx="0">
                  <c:v>2720</c:v>
                </c:pt>
                <c:pt idx="1">
                  <c:v>4000</c:v>
                </c:pt>
                <c:pt idx="2">
                  <c:v>4000</c:v>
                </c:pt>
                <c:pt idx="3">
                  <c:v>2720</c:v>
                </c:pt>
                <c:pt idx="4">
                  <c:v>2720</c:v>
                </c:pt>
                <c:pt idx="5">
                  <c:v>2720</c:v>
                </c:pt>
                <c:pt idx="6">
                  <c:v>2720</c:v>
                </c:pt>
                <c:pt idx="7">
                  <c:v>2720</c:v>
                </c:pt>
                <c:pt idx="8">
                  <c:v>4000</c:v>
                </c:pt>
                <c:pt idx="9">
                  <c:v>4000</c:v>
                </c:pt>
                <c:pt idx="10">
                  <c:v>2720</c:v>
                </c:pt>
                <c:pt idx="11">
                  <c:v>2720</c:v>
                </c:pt>
                <c:pt idx="12">
                  <c:v>2720</c:v>
                </c:pt>
                <c:pt idx="13">
                  <c:v>2720</c:v>
                </c:pt>
                <c:pt idx="14">
                  <c:v>2720</c:v>
                </c:pt>
                <c:pt idx="15">
                  <c:v>4000</c:v>
                </c:pt>
                <c:pt idx="16">
                  <c:v>4000</c:v>
                </c:pt>
                <c:pt idx="17">
                  <c:v>2720</c:v>
                </c:pt>
                <c:pt idx="18">
                  <c:v>2720</c:v>
                </c:pt>
                <c:pt idx="19">
                  <c:v>2720</c:v>
                </c:pt>
                <c:pt idx="20">
                  <c:v>2720</c:v>
                </c:pt>
                <c:pt idx="21">
                  <c:v>2720</c:v>
                </c:pt>
                <c:pt idx="22">
                  <c:v>4000</c:v>
                </c:pt>
                <c:pt idx="23">
                  <c:v>4000</c:v>
                </c:pt>
                <c:pt idx="24">
                  <c:v>2720</c:v>
                </c:pt>
                <c:pt idx="25">
                  <c:v>2720</c:v>
                </c:pt>
                <c:pt idx="26">
                  <c:v>2720</c:v>
                </c:pt>
                <c:pt idx="27">
                  <c:v>2720</c:v>
                </c:pt>
                <c:pt idx="28">
                  <c:v>2720</c:v>
                </c:pt>
                <c:pt idx="29">
                  <c:v>4000</c:v>
                </c:pt>
                <c:pt idx="30">
                  <c:v>4000</c:v>
                </c:pt>
                <c:pt idx="31">
                  <c:v>2720</c:v>
                </c:pt>
                <c:pt idx="32">
                  <c:v>2720</c:v>
                </c:pt>
                <c:pt idx="33">
                  <c:v>2720</c:v>
                </c:pt>
                <c:pt idx="34">
                  <c:v>2720</c:v>
                </c:pt>
                <c:pt idx="35">
                  <c:v>2720</c:v>
                </c:pt>
                <c:pt idx="36">
                  <c:v>4000</c:v>
                </c:pt>
                <c:pt idx="37">
                  <c:v>4000</c:v>
                </c:pt>
                <c:pt idx="38">
                  <c:v>2720</c:v>
                </c:pt>
                <c:pt idx="39">
                  <c:v>2720</c:v>
                </c:pt>
                <c:pt idx="40">
                  <c:v>2720</c:v>
                </c:pt>
                <c:pt idx="41">
                  <c:v>2720</c:v>
                </c:pt>
                <c:pt idx="42">
                  <c:v>2720</c:v>
                </c:pt>
                <c:pt idx="43">
                  <c:v>4000</c:v>
                </c:pt>
                <c:pt idx="44">
                  <c:v>4000</c:v>
                </c:pt>
                <c:pt idx="45">
                  <c:v>2720</c:v>
                </c:pt>
                <c:pt idx="46">
                  <c:v>2720</c:v>
                </c:pt>
                <c:pt idx="47">
                  <c:v>2720</c:v>
                </c:pt>
                <c:pt idx="48">
                  <c:v>2720</c:v>
                </c:pt>
                <c:pt idx="49">
                  <c:v>2720</c:v>
                </c:pt>
                <c:pt idx="50">
                  <c:v>4000</c:v>
                </c:pt>
                <c:pt idx="51">
                  <c:v>4000</c:v>
                </c:pt>
                <c:pt idx="52">
                  <c:v>2720</c:v>
                </c:pt>
                <c:pt idx="53">
                  <c:v>2720</c:v>
                </c:pt>
                <c:pt idx="54">
                  <c:v>2720</c:v>
                </c:pt>
                <c:pt idx="55">
                  <c:v>2720</c:v>
                </c:pt>
                <c:pt idx="56">
                  <c:v>2720</c:v>
                </c:pt>
                <c:pt idx="57">
                  <c:v>4000</c:v>
                </c:pt>
                <c:pt idx="58">
                  <c:v>4000</c:v>
                </c:pt>
                <c:pt idx="59">
                  <c:v>2720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D-4323-BED5-C507FF028F13}"/>
            </c:ext>
          </c:extLst>
        </c:ser>
        <c:ser>
          <c:idx val="2"/>
          <c:order val="2"/>
          <c:tx>
            <c:v>净热量</c:v>
          </c:tx>
          <c:cat>
            <c:numRef>
              <c:f>Daily_Log!$A$2:$A$61</c:f>
              <c:numCache>
                <c:formatCode>General</c:formatCode>
                <c:ptCount val="6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</c:numCache>
            </c:numRef>
          </c:cat>
          <c:val>
            <c:numRef>
              <c:f>Daily_Log!$AH$2:$AH$61</c:f>
              <c:numCache>
                <c:formatCode>General</c:formatCode>
                <c:ptCount val="60"/>
                <c:pt idx="0">
                  <c:v>-82.5</c:v>
                </c:pt>
                <c:pt idx="1">
                  <c:v>-2462.5</c:v>
                </c:pt>
                <c:pt idx="2">
                  <c:v>-2612.5</c:v>
                </c:pt>
                <c:pt idx="3">
                  <c:v>-1057.5</c:v>
                </c:pt>
                <c:pt idx="4">
                  <c:v>-1082.5</c:v>
                </c:pt>
                <c:pt idx="5">
                  <c:v>-1182.5</c:v>
                </c:pt>
                <c:pt idx="6">
                  <c:v>-1332.5</c:v>
                </c:pt>
                <c:pt idx="7">
                  <c:v>-57.5</c:v>
                </c:pt>
                <c:pt idx="8">
                  <c:v>-2362.5</c:v>
                </c:pt>
                <c:pt idx="9">
                  <c:v>-2462.5</c:v>
                </c:pt>
                <c:pt idx="10">
                  <c:v>-1332.5</c:v>
                </c:pt>
                <c:pt idx="11">
                  <c:v>-1057.5</c:v>
                </c:pt>
                <c:pt idx="12">
                  <c:v>-1082.5</c:v>
                </c:pt>
                <c:pt idx="13">
                  <c:v>-1182.5</c:v>
                </c:pt>
                <c:pt idx="14">
                  <c:v>-332.5</c:v>
                </c:pt>
                <c:pt idx="15">
                  <c:v>-2337.5</c:v>
                </c:pt>
                <c:pt idx="16">
                  <c:v>-2362.5</c:v>
                </c:pt>
                <c:pt idx="17">
                  <c:v>-1182.5</c:v>
                </c:pt>
                <c:pt idx="18">
                  <c:v>-1332.5</c:v>
                </c:pt>
                <c:pt idx="19">
                  <c:v>-1057.5</c:v>
                </c:pt>
                <c:pt idx="20">
                  <c:v>-1082.5</c:v>
                </c:pt>
                <c:pt idx="21">
                  <c:v>-182.5</c:v>
                </c:pt>
                <c:pt idx="22">
                  <c:v>-2612.5</c:v>
                </c:pt>
                <c:pt idx="23">
                  <c:v>-2337.5</c:v>
                </c:pt>
                <c:pt idx="24">
                  <c:v>-1082.5</c:v>
                </c:pt>
                <c:pt idx="25">
                  <c:v>-1182.5</c:v>
                </c:pt>
                <c:pt idx="26">
                  <c:v>-1332.5</c:v>
                </c:pt>
                <c:pt idx="27">
                  <c:v>-1057.5</c:v>
                </c:pt>
                <c:pt idx="28">
                  <c:v>-82.5</c:v>
                </c:pt>
                <c:pt idx="29">
                  <c:v>-2462.5</c:v>
                </c:pt>
                <c:pt idx="30">
                  <c:v>-2612.5</c:v>
                </c:pt>
                <c:pt idx="31">
                  <c:v>-1057.5</c:v>
                </c:pt>
                <c:pt idx="32">
                  <c:v>-1082.5</c:v>
                </c:pt>
                <c:pt idx="33">
                  <c:v>-1182.5</c:v>
                </c:pt>
                <c:pt idx="34">
                  <c:v>-1332.5</c:v>
                </c:pt>
                <c:pt idx="35">
                  <c:v>-57.5</c:v>
                </c:pt>
                <c:pt idx="36">
                  <c:v>-2362.5</c:v>
                </c:pt>
                <c:pt idx="37">
                  <c:v>-2462.5</c:v>
                </c:pt>
                <c:pt idx="38">
                  <c:v>-1332.5</c:v>
                </c:pt>
                <c:pt idx="39">
                  <c:v>-1057.5</c:v>
                </c:pt>
                <c:pt idx="40">
                  <c:v>-1082.5</c:v>
                </c:pt>
                <c:pt idx="41">
                  <c:v>-1182.5</c:v>
                </c:pt>
                <c:pt idx="42">
                  <c:v>-332.5</c:v>
                </c:pt>
                <c:pt idx="43">
                  <c:v>-2337.5</c:v>
                </c:pt>
                <c:pt idx="44">
                  <c:v>-2362.5</c:v>
                </c:pt>
                <c:pt idx="45">
                  <c:v>-1182.5</c:v>
                </c:pt>
                <c:pt idx="46">
                  <c:v>-1332.5</c:v>
                </c:pt>
                <c:pt idx="47">
                  <c:v>-1057.5</c:v>
                </c:pt>
                <c:pt idx="48">
                  <c:v>-1082.5</c:v>
                </c:pt>
                <c:pt idx="49">
                  <c:v>-182.5</c:v>
                </c:pt>
                <c:pt idx="50">
                  <c:v>-2612.5</c:v>
                </c:pt>
                <c:pt idx="51">
                  <c:v>-2337.5</c:v>
                </c:pt>
                <c:pt idx="52">
                  <c:v>-1082.5</c:v>
                </c:pt>
                <c:pt idx="53">
                  <c:v>-1182.5</c:v>
                </c:pt>
                <c:pt idx="54">
                  <c:v>-1332.5</c:v>
                </c:pt>
                <c:pt idx="55">
                  <c:v>-1057.5</c:v>
                </c:pt>
                <c:pt idx="56">
                  <c:v>-82.5</c:v>
                </c:pt>
                <c:pt idx="57">
                  <c:v>-2462.5</c:v>
                </c:pt>
                <c:pt idx="58">
                  <c:v>-2612.5</c:v>
                </c:pt>
                <c:pt idx="59">
                  <c:v>-1057.5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D-4323-BED5-C507FF028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体重</c:v>
          </c:tx>
          <c:cat>
            <c:numRef>
              <c:f>Weight_Log!$A$2:$A$371</c:f>
              <c:numCache>
                <c:formatCode>General</c:formatCode>
                <c:ptCount val="37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  <c:pt idx="87">
                  <c:v>46265</c:v>
                </c:pt>
                <c:pt idx="88">
                  <c:v>46266</c:v>
                </c:pt>
                <c:pt idx="89">
                  <c:v>46267</c:v>
                </c:pt>
                <c:pt idx="90">
                  <c:v>46268</c:v>
                </c:pt>
                <c:pt idx="91">
                  <c:v>46269</c:v>
                </c:pt>
                <c:pt idx="92">
                  <c:v>46270</c:v>
                </c:pt>
                <c:pt idx="93">
                  <c:v>46271</c:v>
                </c:pt>
                <c:pt idx="94">
                  <c:v>46272</c:v>
                </c:pt>
                <c:pt idx="95">
                  <c:v>46273</c:v>
                </c:pt>
                <c:pt idx="96">
                  <c:v>46274</c:v>
                </c:pt>
                <c:pt idx="97">
                  <c:v>46275</c:v>
                </c:pt>
                <c:pt idx="98">
                  <c:v>46276</c:v>
                </c:pt>
                <c:pt idx="99">
                  <c:v>46277</c:v>
                </c:pt>
                <c:pt idx="100">
                  <c:v>46278</c:v>
                </c:pt>
                <c:pt idx="101">
                  <c:v>46279</c:v>
                </c:pt>
                <c:pt idx="102">
                  <c:v>46280</c:v>
                </c:pt>
                <c:pt idx="103">
                  <c:v>46281</c:v>
                </c:pt>
                <c:pt idx="104">
                  <c:v>46282</c:v>
                </c:pt>
                <c:pt idx="105">
                  <c:v>46283</c:v>
                </c:pt>
                <c:pt idx="106">
                  <c:v>46284</c:v>
                </c:pt>
                <c:pt idx="107">
                  <c:v>46285</c:v>
                </c:pt>
                <c:pt idx="108">
                  <c:v>46286</c:v>
                </c:pt>
                <c:pt idx="109">
                  <c:v>46287</c:v>
                </c:pt>
                <c:pt idx="110">
                  <c:v>46288</c:v>
                </c:pt>
                <c:pt idx="111">
                  <c:v>46289</c:v>
                </c:pt>
                <c:pt idx="112">
                  <c:v>46290</c:v>
                </c:pt>
                <c:pt idx="113">
                  <c:v>46291</c:v>
                </c:pt>
                <c:pt idx="114">
                  <c:v>46292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  <c:pt idx="118">
                  <c:v>46296</c:v>
                </c:pt>
                <c:pt idx="119">
                  <c:v>46297</c:v>
                </c:pt>
                <c:pt idx="120">
                  <c:v>46298</c:v>
                </c:pt>
                <c:pt idx="121">
                  <c:v>46299</c:v>
                </c:pt>
                <c:pt idx="122">
                  <c:v>46300</c:v>
                </c:pt>
                <c:pt idx="123">
                  <c:v>46301</c:v>
                </c:pt>
                <c:pt idx="124">
                  <c:v>46302</c:v>
                </c:pt>
                <c:pt idx="125">
                  <c:v>46303</c:v>
                </c:pt>
                <c:pt idx="126">
                  <c:v>46304</c:v>
                </c:pt>
                <c:pt idx="127">
                  <c:v>46305</c:v>
                </c:pt>
                <c:pt idx="128">
                  <c:v>46306</c:v>
                </c:pt>
                <c:pt idx="129">
                  <c:v>46307</c:v>
                </c:pt>
                <c:pt idx="130">
                  <c:v>46308</c:v>
                </c:pt>
                <c:pt idx="131">
                  <c:v>46309</c:v>
                </c:pt>
                <c:pt idx="132">
                  <c:v>46310</c:v>
                </c:pt>
                <c:pt idx="133">
                  <c:v>46311</c:v>
                </c:pt>
                <c:pt idx="134">
                  <c:v>46312</c:v>
                </c:pt>
                <c:pt idx="135">
                  <c:v>46313</c:v>
                </c:pt>
                <c:pt idx="136">
                  <c:v>46314</c:v>
                </c:pt>
                <c:pt idx="137">
                  <c:v>46315</c:v>
                </c:pt>
                <c:pt idx="138">
                  <c:v>46316</c:v>
                </c:pt>
                <c:pt idx="139">
                  <c:v>46317</c:v>
                </c:pt>
                <c:pt idx="140">
                  <c:v>46318</c:v>
                </c:pt>
                <c:pt idx="141">
                  <c:v>46319</c:v>
                </c:pt>
                <c:pt idx="142">
                  <c:v>46320</c:v>
                </c:pt>
                <c:pt idx="143">
                  <c:v>46321</c:v>
                </c:pt>
                <c:pt idx="144">
                  <c:v>46322</c:v>
                </c:pt>
                <c:pt idx="145">
                  <c:v>46323</c:v>
                </c:pt>
                <c:pt idx="146">
                  <c:v>46324</c:v>
                </c:pt>
                <c:pt idx="147">
                  <c:v>46325</c:v>
                </c:pt>
                <c:pt idx="148">
                  <c:v>46326</c:v>
                </c:pt>
                <c:pt idx="149">
                  <c:v>46327</c:v>
                </c:pt>
                <c:pt idx="150">
                  <c:v>46328</c:v>
                </c:pt>
                <c:pt idx="151">
                  <c:v>46329</c:v>
                </c:pt>
                <c:pt idx="152">
                  <c:v>46330</c:v>
                </c:pt>
                <c:pt idx="153">
                  <c:v>46331</c:v>
                </c:pt>
                <c:pt idx="154">
                  <c:v>46332</c:v>
                </c:pt>
                <c:pt idx="155">
                  <c:v>46333</c:v>
                </c:pt>
                <c:pt idx="156">
                  <c:v>46334</c:v>
                </c:pt>
                <c:pt idx="157">
                  <c:v>46335</c:v>
                </c:pt>
                <c:pt idx="158">
                  <c:v>46336</c:v>
                </c:pt>
                <c:pt idx="159">
                  <c:v>46337</c:v>
                </c:pt>
                <c:pt idx="160">
                  <c:v>46338</c:v>
                </c:pt>
                <c:pt idx="161">
                  <c:v>46339</c:v>
                </c:pt>
                <c:pt idx="162">
                  <c:v>46340</c:v>
                </c:pt>
                <c:pt idx="163">
                  <c:v>46341</c:v>
                </c:pt>
                <c:pt idx="164">
                  <c:v>46342</c:v>
                </c:pt>
                <c:pt idx="165">
                  <c:v>46343</c:v>
                </c:pt>
                <c:pt idx="166">
                  <c:v>46344</c:v>
                </c:pt>
                <c:pt idx="167">
                  <c:v>46345</c:v>
                </c:pt>
                <c:pt idx="168">
                  <c:v>46346</c:v>
                </c:pt>
                <c:pt idx="169">
                  <c:v>46347</c:v>
                </c:pt>
                <c:pt idx="170">
                  <c:v>46348</c:v>
                </c:pt>
                <c:pt idx="171">
                  <c:v>46349</c:v>
                </c:pt>
                <c:pt idx="172">
                  <c:v>46350</c:v>
                </c:pt>
                <c:pt idx="173">
                  <c:v>46351</c:v>
                </c:pt>
                <c:pt idx="174">
                  <c:v>46352</c:v>
                </c:pt>
                <c:pt idx="175">
                  <c:v>46353</c:v>
                </c:pt>
                <c:pt idx="176">
                  <c:v>46354</c:v>
                </c:pt>
                <c:pt idx="177">
                  <c:v>46355</c:v>
                </c:pt>
                <c:pt idx="178">
                  <c:v>46356</c:v>
                </c:pt>
                <c:pt idx="179">
                  <c:v>46357</c:v>
                </c:pt>
                <c:pt idx="180">
                  <c:v>46358</c:v>
                </c:pt>
                <c:pt idx="181">
                  <c:v>46359</c:v>
                </c:pt>
                <c:pt idx="182">
                  <c:v>46360</c:v>
                </c:pt>
                <c:pt idx="183">
                  <c:v>46361</c:v>
                </c:pt>
                <c:pt idx="184">
                  <c:v>46362</c:v>
                </c:pt>
                <c:pt idx="185">
                  <c:v>46363</c:v>
                </c:pt>
                <c:pt idx="186">
                  <c:v>46364</c:v>
                </c:pt>
                <c:pt idx="187">
                  <c:v>46365</c:v>
                </c:pt>
                <c:pt idx="188">
                  <c:v>46366</c:v>
                </c:pt>
                <c:pt idx="189">
                  <c:v>46367</c:v>
                </c:pt>
                <c:pt idx="190">
                  <c:v>46368</c:v>
                </c:pt>
                <c:pt idx="191">
                  <c:v>46369</c:v>
                </c:pt>
                <c:pt idx="192">
                  <c:v>46370</c:v>
                </c:pt>
                <c:pt idx="193">
                  <c:v>46371</c:v>
                </c:pt>
                <c:pt idx="194">
                  <c:v>46372</c:v>
                </c:pt>
                <c:pt idx="195">
                  <c:v>46373</c:v>
                </c:pt>
                <c:pt idx="196">
                  <c:v>46374</c:v>
                </c:pt>
                <c:pt idx="197">
                  <c:v>46375</c:v>
                </c:pt>
                <c:pt idx="198">
                  <c:v>46376</c:v>
                </c:pt>
                <c:pt idx="199">
                  <c:v>46377</c:v>
                </c:pt>
                <c:pt idx="200">
                  <c:v>46378</c:v>
                </c:pt>
                <c:pt idx="201">
                  <c:v>46379</c:v>
                </c:pt>
                <c:pt idx="202">
                  <c:v>46380</c:v>
                </c:pt>
                <c:pt idx="203">
                  <c:v>46381</c:v>
                </c:pt>
                <c:pt idx="204">
                  <c:v>46382</c:v>
                </c:pt>
                <c:pt idx="205">
                  <c:v>46383</c:v>
                </c:pt>
                <c:pt idx="206">
                  <c:v>46384</c:v>
                </c:pt>
                <c:pt idx="207">
                  <c:v>46385</c:v>
                </c:pt>
                <c:pt idx="208">
                  <c:v>46386</c:v>
                </c:pt>
                <c:pt idx="209">
                  <c:v>46387</c:v>
                </c:pt>
                <c:pt idx="210">
                  <c:v>46388</c:v>
                </c:pt>
                <c:pt idx="211">
                  <c:v>46389</c:v>
                </c:pt>
                <c:pt idx="212">
                  <c:v>46390</c:v>
                </c:pt>
                <c:pt idx="213">
                  <c:v>46391</c:v>
                </c:pt>
                <c:pt idx="214">
                  <c:v>46392</c:v>
                </c:pt>
                <c:pt idx="215">
                  <c:v>46393</c:v>
                </c:pt>
                <c:pt idx="216">
                  <c:v>46394</c:v>
                </c:pt>
                <c:pt idx="217">
                  <c:v>46395</c:v>
                </c:pt>
                <c:pt idx="218">
                  <c:v>46396</c:v>
                </c:pt>
                <c:pt idx="219">
                  <c:v>46397</c:v>
                </c:pt>
                <c:pt idx="220">
                  <c:v>46398</c:v>
                </c:pt>
                <c:pt idx="221">
                  <c:v>46399</c:v>
                </c:pt>
                <c:pt idx="222">
                  <c:v>46400</c:v>
                </c:pt>
                <c:pt idx="223">
                  <c:v>46401</c:v>
                </c:pt>
                <c:pt idx="224">
                  <c:v>46402</c:v>
                </c:pt>
                <c:pt idx="225">
                  <c:v>46403</c:v>
                </c:pt>
                <c:pt idx="226">
                  <c:v>46404</c:v>
                </c:pt>
                <c:pt idx="227">
                  <c:v>46405</c:v>
                </c:pt>
                <c:pt idx="228">
                  <c:v>46406</c:v>
                </c:pt>
                <c:pt idx="229">
                  <c:v>46407</c:v>
                </c:pt>
                <c:pt idx="230">
                  <c:v>46408</c:v>
                </c:pt>
                <c:pt idx="231">
                  <c:v>46409</c:v>
                </c:pt>
                <c:pt idx="232">
                  <c:v>46410</c:v>
                </c:pt>
                <c:pt idx="233">
                  <c:v>46411</c:v>
                </c:pt>
                <c:pt idx="234">
                  <c:v>46412</c:v>
                </c:pt>
                <c:pt idx="235">
                  <c:v>46413</c:v>
                </c:pt>
                <c:pt idx="236">
                  <c:v>46414</c:v>
                </c:pt>
                <c:pt idx="237">
                  <c:v>46415</c:v>
                </c:pt>
                <c:pt idx="238">
                  <c:v>46416</c:v>
                </c:pt>
                <c:pt idx="239">
                  <c:v>46417</c:v>
                </c:pt>
                <c:pt idx="240">
                  <c:v>46418</c:v>
                </c:pt>
                <c:pt idx="241">
                  <c:v>46419</c:v>
                </c:pt>
                <c:pt idx="242">
                  <c:v>46420</c:v>
                </c:pt>
                <c:pt idx="243">
                  <c:v>46421</c:v>
                </c:pt>
                <c:pt idx="244">
                  <c:v>46422</c:v>
                </c:pt>
                <c:pt idx="245">
                  <c:v>46423</c:v>
                </c:pt>
                <c:pt idx="246">
                  <c:v>46424</c:v>
                </c:pt>
                <c:pt idx="247">
                  <c:v>46425</c:v>
                </c:pt>
                <c:pt idx="248">
                  <c:v>46426</c:v>
                </c:pt>
                <c:pt idx="249">
                  <c:v>46427</c:v>
                </c:pt>
                <c:pt idx="250">
                  <c:v>46428</c:v>
                </c:pt>
                <c:pt idx="251">
                  <c:v>46429</c:v>
                </c:pt>
                <c:pt idx="252">
                  <c:v>46430</c:v>
                </c:pt>
                <c:pt idx="253">
                  <c:v>46431</c:v>
                </c:pt>
                <c:pt idx="254">
                  <c:v>46432</c:v>
                </c:pt>
                <c:pt idx="255">
                  <c:v>46433</c:v>
                </c:pt>
                <c:pt idx="256">
                  <c:v>46434</c:v>
                </c:pt>
                <c:pt idx="257">
                  <c:v>46435</c:v>
                </c:pt>
                <c:pt idx="258">
                  <c:v>46436</c:v>
                </c:pt>
                <c:pt idx="259">
                  <c:v>46437</c:v>
                </c:pt>
                <c:pt idx="260">
                  <c:v>46438</c:v>
                </c:pt>
                <c:pt idx="261">
                  <c:v>46439</c:v>
                </c:pt>
                <c:pt idx="262">
                  <c:v>46440</c:v>
                </c:pt>
                <c:pt idx="263">
                  <c:v>46441</c:v>
                </c:pt>
                <c:pt idx="264">
                  <c:v>46442</c:v>
                </c:pt>
                <c:pt idx="265">
                  <c:v>46443</c:v>
                </c:pt>
                <c:pt idx="266">
                  <c:v>46444</c:v>
                </c:pt>
                <c:pt idx="267">
                  <c:v>46445</c:v>
                </c:pt>
                <c:pt idx="268">
                  <c:v>46446</c:v>
                </c:pt>
                <c:pt idx="269">
                  <c:v>46447</c:v>
                </c:pt>
                <c:pt idx="270">
                  <c:v>46448</c:v>
                </c:pt>
                <c:pt idx="271">
                  <c:v>46449</c:v>
                </c:pt>
                <c:pt idx="272">
                  <c:v>46450</c:v>
                </c:pt>
                <c:pt idx="273">
                  <c:v>46451</c:v>
                </c:pt>
                <c:pt idx="274">
                  <c:v>46452</c:v>
                </c:pt>
                <c:pt idx="275">
                  <c:v>46453</c:v>
                </c:pt>
                <c:pt idx="276">
                  <c:v>46454</c:v>
                </c:pt>
                <c:pt idx="277">
                  <c:v>46455</c:v>
                </c:pt>
                <c:pt idx="278">
                  <c:v>46456</c:v>
                </c:pt>
                <c:pt idx="279">
                  <c:v>46457</c:v>
                </c:pt>
                <c:pt idx="280">
                  <c:v>46458</c:v>
                </c:pt>
                <c:pt idx="281">
                  <c:v>46459</c:v>
                </c:pt>
                <c:pt idx="282">
                  <c:v>46460</c:v>
                </c:pt>
                <c:pt idx="283">
                  <c:v>46461</c:v>
                </c:pt>
                <c:pt idx="284">
                  <c:v>46462</c:v>
                </c:pt>
                <c:pt idx="285">
                  <c:v>46463</c:v>
                </c:pt>
                <c:pt idx="286">
                  <c:v>46464</c:v>
                </c:pt>
                <c:pt idx="287">
                  <c:v>46465</c:v>
                </c:pt>
                <c:pt idx="288">
                  <c:v>46466</c:v>
                </c:pt>
                <c:pt idx="289">
                  <c:v>46467</c:v>
                </c:pt>
                <c:pt idx="290">
                  <c:v>46468</c:v>
                </c:pt>
                <c:pt idx="291">
                  <c:v>46469</c:v>
                </c:pt>
                <c:pt idx="292">
                  <c:v>46470</c:v>
                </c:pt>
                <c:pt idx="293">
                  <c:v>46471</c:v>
                </c:pt>
                <c:pt idx="294">
                  <c:v>46472</c:v>
                </c:pt>
                <c:pt idx="295">
                  <c:v>46473</c:v>
                </c:pt>
                <c:pt idx="296">
                  <c:v>46474</c:v>
                </c:pt>
                <c:pt idx="297">
                  <c:v>46475</c:v>
                </c:pt>
                <c:pt idx="298">
                  <c:v>46476</c:v>
                </c:pt>
                <c:pt idx="299">
                  <c:v>46477</c:v>
                </c:pt>
                <c:pt idx="300">
                  <c:v>46478</c:v>
                </c:pt>
                <c:pt idx="301">
                  <c:v>46479</c:v>
                </c:pt>
                <c:pt idx="302">
                  <c:v>46480</c:v>
                </c:pt>
                <c:pt idx="303">
                  <c:v>46481</c:v>
                </c:pt>
                <c:pt idx="304">
                  <c:v>46482</c:v>
                </c:pt>
                <c:pt idx="305">
                  <c:v>46483</c:v>
                </c:pt>
                <c:pt idx="306">
                  <c:v>46484</c:v>
                </c:pt>
                <c:pt idx="307">
                  <c:v>46485</c:v>
                </c:pt>
                <c:pt idx="308">
                  <c:v>46486</c:v>
                </c:pt>
                <c:pt idx="309">
                  <c:v>46487</c:v>
                </c:pt>
                <c:pt idx="310">
                  <c:v>46488</c:v>
                </c:pt>
                <c:pt idx="311">
                  <c:v>46489</c:v>
                </c:pt>
                <c:pt idx="312">
                  <c:v>46490</c:v>
                </c:pt>
                <c:pt idx="313">
                  <c:v>46491</c:v>
                </c:pt>
                <c:pt idx="314">
                  <c:v>46492</c:v>
                </c:pt>
                <c:pt idx="315">
                  <c:v>46493</c:v>
                </c:pt>
                <c:pt idx="316">
                  <c:v>46494</c:v>
                </c:pt>
                <c:pt idx="317">
                  <c:v>46495</c:v>
                </c:pt>
                <c:pt idx="318">
                  <c:v>46496</c:v>
                </c:pt>
                <c:pt idx="319">
                  <c:v>46497</c:v>
                </c:pt>
                <c:pt idx="320">
                  <c:v>46498</c:v>
                </c:pt>
                <c:pt idx="321">
                  <c:v>46499</c:v>
                </c:pt>
                <c:pt idx="322">
                  <c:v>46500</c:v>
                </c:pt>
                <c:pt idx="323">
                  <c:v>46501</c:v>
                </c:pt>
                <c:pt idx="324">
                  <c:v>46502</c:v>
                </c:pt>
                <c:pt idx="325">
                  <c:v>46503</c:v>
                </c:pt>
                <c:pt idx="326">
                  <c:v>46504</c:v>
                </c:pt>
                <c:pt idx="327">
                  <c:v>46505</c:v>
                </c:pt>
                <c:pt idx="328">
                  <c:v>46506</c:v>
                </c:pt>
                <c:pt idx="329">
                  <c:v>46507</c:v>
                </c:pt>
                <c:pt idx="330">
                  <c:v>46508</c:v>
                </c:pt>
                <c:pt idx="331">
                  <c:v>46509</c:v>
                </c:pt>
                <c:pt idx="332">
                  <c:v>46510</c:v>
                </c:pt>
                <c:pt idx="333">
                  <c:v>46511</c:v>
                </c:pt>
                <c:pt idx="334">
                  <c:v>46512</c:v>
                </c:pt>
                <c:pt idx="335">
                  <c:v>46513</c:v>
                </c:pt>
                <c:pt idx="336">
                  <c:v>46514</c:v>
                </c:pt>
                <c:pt idx="337">
                  <c:v>46515</c:v>
                </c:pt>
                <c:pt idx="338">
                  <c:v>46516</c:v>
                </c:pt>
                <c:pt idx="339">
                  <c:v>46517</c:v>
                </c:pt>
                <c:pt idx="340">
                  <c:v>46518</c:v>
                </c:pt>
                <c:pt idx="341">
                  <c:v>46519</c:v>
                </c:pt>
                <c:pt idx="342">
                  <c:v>46520</c:v>
                </c:pt>
                <c:pt idx="343">
                  <c:v>46521</c:v>
                </c:pt>
                <c:pt idx="344">
                  <c:v>46522</c:v>
                </c:pt>
                <c:pt idx="345">
                  <c:v>46523</c:v>
                </c:pt>
                <c:pt idx="346">
                  <c:v>46524</c:v>
                </c:pt>
                <c:pt idx="347">
                  <c:v>46525</c:v>
                </c:pt>
                <c:pt idx="348">
                  <c:v>46526</c:v>
                </c:pt>
                <c:pt idx="349">
                  <c:v>46527</c:v>
                </c:pt>
                <c:pt idx="350">
                  <c:v>46528</c:v>
                </c:pt>
                <c:pt idx="351">
                  <c:v>46529</c:v>
                </c:pt>
                <c:pt idx="352">
                  <c:v>46530</c:v>
                </c:pt>
                <c:pt idx="353">
                  <c:v>46531</c:v>
                </c:pt>
                <c:pt idx="354">
                  <c:v>46532</c:v>
                </c:pt>
                <c:pt idx="355">
                  <c:v>46533</c:v>
                </c:pt>
                <c:pt idx="356">
                  <c:v>46534</c:v>
                </c:pt>
                <c:pt idx="357">
                  <c:v>46535</c:v>
                </c:pt>
                <c:pt idx="358">
                  <c:v>46536</c:v>
                </c:pt>
                <c:pt idx="359">
                  <c:v>46537</c:v>
                </c:pt>
                <c:pt idx="360">
                  <c:v>46538</c:v>
                </c:pt>
                <c:pt idx="361">
                  <c:v>46539</c:v>
                </c:pt>
                <c:pt idx="362">
                  <c:v>46540</c:v>
                </c:pt>
                <c:pt idx="363">
                  <c:v>46541</c:v>
                </c:pt>
                <c:pt idx="364">
                  <c:v>46542</c:v>
                </c:pt>
                <c:pt idx="365">
                  <c:v>46543</c:v>
                </c:pt>
                <c:pt idx="366">
                  <c:v>46544</c:v>
                </c:pt>
                <c:pt idx="367">
                  <c:v>46545</c:v>
                </c:pt>
                <c:pt idx="368">
                  <c:v>46546</c:v>
                </c:pt>
                <c:pt idx="369">
                  <c:v>46547</c:v>
                </c:pt>
              </c:numCache>
            </c:numRef>
          </c:cat>
          <c:val>
            <c:numRef>
              <c:f>Weight_Log!$B$2:$B$371</c:f>
              <c:numCache>
                <c:formatCode>General</c:formatCode>
                <c:ptCount val="370"/>
                <c:pt idx="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4-4B22-8BBB-F7CB6512328E}"/>
            </c:ext>
          </c:extLst>
        </c:ser>
        <c:ser>
          <c:idx val="1"/>
          <c:order val="1"/>
          <c:tx>
            <c:v>7日均重</c:v>
          </c:tx>
          <c:cat>
            <c:numRef>
              <c:f>Weight_Log!$A$2:$A$371</c:f>
              <c:numCache>
                <c:formatCode>General</c:formatCode>
                <c:ptCount val="370"/>
                <c:pt idx="0">
                  <c:v>46178</c:v>
                </c:pt>
                <c:pt idx="1">
                  <c:v>46179</c:v>
                </c:pt>
                <c:pt idx="2">
                  <c:v>46180</c:v>
                </c:pt>
                <c:pt idx="3">
                  <c:v>46181</c:v>
                </c:pt>
                <c:pt idx="4">
                  <c:v>46182</c:v>
                </c:pt>
                <c:pt idx="5">
                  <c:v>46183</c:v>
                </c:pt>
                <c:pt idx="6">
                  <c:v>46184</c:v>
                </c:pt>
                <c:pt idx="7">
                  <c:v>46185</c:v>
                </c:pt>
                <c:pt idx="8">
                  <c:v>46186</c:v>
                </c:pt>
                <c:pt idx="9">
                  <c:v>46187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46193</c:v>
                </c:pt>
                <c:pt idx="16">
                  <c:v>46194</c:v>
                </c:pt>
                <c:pt idx="17">
                  <c:v>46195</c:v>
                </c:pt>
                <c:pt idx="18">
                  <c:v>46196</c:v>
                </c:pt>
                <c:pt idx="19">
                  <c:v>46197</c:v>
                </c:pt>
                <c:pt idx="20">
                  <c:v>46198</c:v>
                </c:pt>
                <c:pt idx="21">
                  <c:v>46199</c:v>
                </c:pt>
                <c:pt idx="22">
                  <c:v>46200</c:v>
                </c:pt>
                <c:pt idx="23">
                  <c:v>46201</c:v>
                </c:pt>
                <c:pt idx="24">
                  <c:v>46202</c:v>
                </c:pt>
                <c:pt idx="25">
                  <c:v>46203</c:v>
                </c:pt>
                <c:pt idx="26">
                  <c:v>46204</c:v>
                </c:pt>
                <c:pt idx="27">
                  <c:v>46205</c:v>
                </c:pt>
                <c:pt idx="28">
                  <c:v>46206</c:v>
                </c:pt>
                <c:pt idx="29">
                  <c:v>46207</c:v>
                </c:pt>
                <c:pt idx="30">
                  <c:v>46208</c:v>
                </c:pt>
                <c:pt idx="31">
                  <c:v>46209</c:v>
                </c:pt>
                <c:pt idx="32">
                  <c:v>46210</c:v>
                </c:pt>
                <c:pt idx="33">
                  <c:v>46211</c:v>
                </c:pt>
                <c:pt idx="34">
                  <c:v>46212</c:v>
                </c:pt>
                <c:pt idx="35">
                  <c:v>46213</c:v>
                </c:pt>
                <c:pt idx="36">
                  <c:v>46214</c:v>
                </c:pt>
                <c:pt idx="37">
                  <c:v>46215</c:v>
                </c:pt>
                <c:pt idx="38">
                  <c:v>46216</c:v>
                </c:pt>
                <c:pt idx="39">
                  <c:v>46217</c:v>
                </c:pt>
                <c:pt idx="40">
                  <c:v>46218</c:v>
                </c:pt>
                <c:pt idx="41">
                  <c:v>46219</c:v>
                </c:pt>
                <c:pt idx="42">
                  <c:v>46220</c:v>
                </c:pt>
                <c:pt idx="43">
                  <c:v>46221</c:v>
                </c:pt>
                <c:pt idx="44">
                  <c:v>46222</c:v>
                </c:pt>
                <c:pt idx="45">
                  <c:v>46223</c:v>
                </c:pt>
                <c:pt idx="46">
                  <c:v>46224</c:v>
                </c:pt>
                <c:pt idx="47">
                  <c:v>46225</c:v>
                </c:pt>
                <c:pt idx="48">
                  <c:v>46226</c:v>
                </c:pt>
                <c:pt idx="49">
                  <c:v>46227</c:v>
                </c:pt>
                <c:pt idx="50">
                  <c:v>46228</c:v>
                </c:pt>
                <c:pt idx="51">
                  <c:v>46229</c:v>
                </c:pt>
                <c:pt idx="52">
                  <c:v>46230</c:v>
                </c:pt>
                <c:pt idx="53">
                  <c:v>46231</c:v>
                </c:pt>
                <c:pt idx="54">
                  <c:v>46232</c:v>
                </c:pt>
                <c:pt idx="55">
                  <c:v>46233</c:v>
                </c:pt>
                <c:pt idx="56">
                  <c:v>46234</c:v>
                </c:pt>
                <c:pt idx="57">
                  <c:v>46235</c:v>
                </c:pt>
                <c:pt idx="58">
                  <c:v>46236</c:v>
                </c:pt>
                <c:pt idx="59">
                  <c:v>46237</c:v>
                </c:pt>
                <c:pt idx="60">
                  <c:v>46238</c:v>
                </c:pt>
                <c:pt idx="61">
                  <c:v>46239</c:v>
                </c:pt>
                <c:pt idx="62">
                  <c:v>46240</c:v>
                </c:pt>
                <c:pt idx="63">
                  <c:v>46241</c:v>
                </c:pt>
                <c:pt idx="64">
                  <c:v>46242</c:v>
                </c:pt>
                <c:pt idx="65">
                  <c:v>46243</c:v>
                </c:pt>
                <c:pt idx="66">
                  <c:v>46244</c:v>
                </c:pt>
                <c:pt idx="67">
                  <c:v>46245</c:v>
                </c:pt>
                <c:pt idx="68">
                  <c:v>46246</c:v>
                </c:pt>
                <c:pt idx="69">
                  <c:v>46247</c:v>
                </c:pt>
                <c:pt idx="70">
                  <c:v>46248</c:v>
                </c:pt>
                <c:pt idx="71">
                  <c:v>46249</c:v>
                </c:pt>
                <c:pt idx="72">
                  <c:v>46250</c:v>
                </c:pt>
                <c:pt idx="73">
                  <c:v>46251</c:v>
                </c:pt>
                <c:pt idx="74">
                  <c:v>46252</c:v>
                </c:pt>
                <c:pt idx="75">
                  <c:v>46253</c:v>
                </c:pt>
                <c:pt idx="76">
                  <c:v>46254</c:v>
                </c:pt>
                <c:pt idx="77">
                  <c:v>46255</c:v>
                </c:pt>
                <c:pt idx="78">
                  <c:v>46256</c:v>
                </c:pt>
                <c:pt idx="79">
                  <c:v>46257</c:v>
                </c:pt>
                <c:pt idx="80">
                  <c:v>46258</c:v>
                </c:pt>
                <c:pt idx="81">
                  <c:v>46259</c:v>
                </c:pt>
                <c:pt idx="82">
                  <c:v>46260</c:v>
                </c:pt>
                <c:pt idx="83">
                  <c:v>46261</c:v>
                </c:pt>
                <c:pt idx="84">
                  <c:v>46262</c:v>
                </c:pt>
                <c:pt idx="85">
                  <c:v>46263</c:v>
                </c:pt>
                <c:pt idx="86">
                  <c:v>46264</c:v>
                </c:pt>
                <c:pt idx="87">
                  <c:v>46265</c:v>
                </c:pt>
                <c:pt idx="88">
                  <c:v>46266</c:v>
                </c:pt>
                <c:pt idx="89">
                  <c:v>46267</c:v>
                </c:pt>
                <c:pt idx="90">
                  <c:v>46268</c:v>
                </c:pt>
                <c:pt idx="91">
                  <c:v>46269</c:v>
                </c:pt>
                <c:pt idx="92">
                  <c:v>46270</c:v>
                </c:pt>
                <c:pt idx="93">
                  <c:v>46271</c:v>
                </c:pt>
                <c:pt idx="94">
                  <c:v>46272</c:v>
                </c:pt>
                <c:pt idx="95">
                  <c:v>46273</c:v>
                </c:pt>
                <c:pt idx="96">
                  <c:v>46274</c:v>
                </c:pt>
                <c:pt idx="97">
                  <c:v>46275</c:v>
                </c:pt>
                <c:pt idx="98">
                  <c:v>46276</c:v>
                </c:pt>
                <c:pt idx="99">
                  <c:v>46277</c:v>
                </c:pt>
                <c:pt idx="100">
                  <c:v>46278</c:v>
                </c:pt>
                <c:pt idx="101">
                  <c:v>46279</c:v>
                </c:pt>
                <c:pt idx="102">
                  <c:v>46280</c:v>
                </c:pt>
                <c:pt idx="103">
                  <c:v>46281</c:v>
                </c:pt>
                <c:pt idx="104">
                  <c:v>46282</c:v>
                </c:pt>
                <c:pt idx="105">
                  <c:v>46283</c:v>
                </c:pt>
                <c:pt idx="106">
                  <c:v>46284</c:v>
                </c:pt>
                <c:pt idx="107">
                  <c:v>46285</c:v>
                </c:pt>
                <c:pt idx="108">
                  <c:v>46286</c:v>
                </c:pt>
                <c:pt idx="109">
                  <c:v>46287</c:v>
                </c:pt>
                <c:pt idx="110">
                  <c:v>46288</c:v>
                </c:pt>
                <c:pt idx="111">
                  <c:v>46289</c:v>
                </c:pt>
                <c:pt idx="112">
                  <c:v>46290</c:v>
                </c:pt>
                <c:pt idx="113">
                  <c:v>46291</c:v>
                </c:pt>
                <c:pt idx="114">
                  <c:v>46292</c:v>
                </c:pt>
                <c:pt idx="115">
                  <c:v>46293</c:v>
                </c:pt>
                <c:pt idx="116">
                  <c:v>46294</c:v>
                </c:pt>
                <c:pt idx="117">
                  <c:v>46295</c:v>
                </c:pt>
                <c:pt idx="118">
                  <c:v>46296</c:v>
                </c:pt>
                <c:pt idx="119">
                  <c:v>46297</c:v>
                </c:pt>
                <c:pt idx="120">
                  <c:v>46298</c:v>
                </c:pt>
                <c:pt idx="121">
                  <c:v>46299</c:v>
                </c:pt>
                <c:pt idx="122">
                  <c:v>46300</c:v>
                </c:pt>
                <c:pt idx="123">
                  <c:v>46301</c:v>
                </c:pt>
                <c:pt idx="124">
                  <c:v>46302</c:v>
                </c:pt>
                <c:pt idx="125">
                  <c:v>46303</c:v>
                </c:pt>
                <c:pt idx="126">
                  <c:v>46304</c:v>
                </c:pt>
                <c:pt idx="127">
                  <c:v>46305</c:v>
                </c:pt>
                <c:pt idx="128">
                  <c:v>46306</c:v>
                </c:pt>
                <c:pt idx="129">
                  <c:v>46307</c:v>
                </c:pt>
                <c:pt idx="130">
                  <c:v>46308</c:v>
                </c:pt>
                <c:pt idx="131">
                  <c:v>46309</c:v>
                </c:pt>
                <c:pt idx="132">
                  <c:v>46310</c:v>
                </c:pt>
                <c:pt idx="133">
                  <c:v>46311</c:v>
                </c:pt>
                <c:pt idx="134">
                  <c:v>46312</c:v>
                </c:pt>
                <c:pt idx="135">
                  <c:v>46313</c:v>
                </c:pt>
                <c:pt idx="136">
                  <c:v>46314</c:v>
                </c:pt>
                <c:pt idx="137">
                  <c:v>46315</c:v>
                </c:pt>
                <c:pt idx="138">
                  <c:v>46316</c:v>
                </c:pt>
                <c:pt idx="139">
                  <c:v>46317</c:v>
                </c:pt>
                <c:pt idx="140">
                  <c:v>46318</c:v>
                </c:pt>
                <c:pt idx="141">
                  <c:v>46319</c:v>
                </c:pt>
                <c:pt idx="142">
                  <c:v>46320</c:v>
                </c:pt>
                <c:pt idx="143">
                  <c:v>46321</c:v>
                </c:pt>
                <c:pt idx="144">
                  <c:v>46322</c:v>
                </c:pt>
                <c:pt idx="145">
                  <c:v>46323</c:v>
                </c:pt>
                <c:pt idx="146">
                  <c:v>46324</c:v>
                </c:pt>
                <c:pt idx="147">
                  <c:v>46325</c:v>
                </c:pt>
                <c:pt idx="148">
                  <c:v>46326</c:v>
                </c:pt>
                <c:pt idx="149">
                  <c:v>46327</c:v>
                </c:pt>
                <c:pt idx="150">
                  <c:v>46328</c:v>
                </c:pt>
                <c:pt idx="151">
                  <c:v>46329</c:v>
                </c:pt>
                <c:pt idx="152">
                  <c:v>46330</c:v>
                </c:pt>
                <c:pt idx="153">
                  <c:v>46331</c:v>
                </c:pt>
                <c:pt idx="154">
                  <c:v>46332</c:v>
                </c:pt>
                <c:pt idx="155">
                  <c:v>46333</c:v>
                </c:pt>
                <c:pt idx="156">
                  <c:v>46334</c:v>
                </c:pt>
                <c:pt idx="157">
                  <c:v>46335</c:v>
                </c:pt>
                <c:pt idx="158">
                  <c:v>46336</c:v>
                </c:pt>
                <c:pt idx="159">
                  <c:v>46337</c:v>
                </c:pt>
                <c:pt idx="160">
                  <c:v>46338</c:v>
                </c:pt>
                <c:pt idx="161">
                  <c:v>46339</c:v>
                </c:pt>
                <c:pt idx="162">
                  <c:v>46340</c:v>
                </c:pt>
                <c:pt idx="163">
                  <c:v>46341</c:v>
                </c:pt>
                <c:pt idx="164">
                  <c:v>46342</c:v>
                </c:pt>
                <c:pt idx="165">
                  <c:v>46343</c:v>
                </c:pt>
                <c:pt idx="166">
                  <c:v>46344</c:v>
                </c:pt>
                <c:pt idx="167">
                  <c:v>46345</c:v>
                </c:pt>
                <c:pt idx="168">
                  <c:v>46346</c:v>
                </c:pt>
                <c:pt idx="169">
                  <c:v>46347</c:v>
                </c:pt>
                <c:pt idx="170">
                  <c:v>46348</c:v>
                </c:pt>
                <c:pt idx="171">
                  <c:v>46349</c:v>
                </c:pt>
                <c:pt idx="172">
                  <c:v>46350</c:v>
                </c:pt>
                <c:pt idx="173">
                  <c:v>46351</c:v>
                </c:pt>
                <c:pt idx="174">
                  <c:v>46352</c:v>
                </c:pt>
                <c:pt idx="175">
                  <c:v>46353</c:v>
                </c:pt>
                <c:pt idx="176">
                  <c:v>46354</c:v>
                </c:pt>
                <c:pt idx="177">
                  <c:v>46355</c:v>
                </c:pt>
                <c:pt idx="178">
                  <c:v>46356</c:v>
                </c:pt>
                <c:pt idx="179">
                  <c:v>46357</c:v>
                </c:pt>
                <c:pt idx="180">
                  <c:v>46358</c:v>
                </c:pt>
                <c:pt idx="181">
                  <c:v>46359</c:v>
                </c:pt>
                <c:pt idx="182">
                  <c:v>46360</c:v>
                </c:pt>
                <c:pt idx="183">
                  <c:v>46361</c:v>
                </c:pt>
                <c:pt idx="184">
                  <c:v>46362</c:v>
                </c:pt>
                <c:pt idx="185">
                  <c:v>46363</c:v>
                </c:pt>
                <c:pt idx="186">
                  <c:v>46364</c:v>
                </c:pt>
                <c:pt idx="187">
                  <c:v>46365</c:v>
                </c:pt>
                <c:pt idx="188">
                  <c:v>46366</c:v>
                </c:pt>
                <c:pt idx="189">
                  <c:v>46367</c:v>
                </c:pt>
                <c:pt idx="190">
                  <c:v>46368</c:v>
                </c:pt>
                <c:pt idx="191">
                  <c:v>46369</c:v>
                </c:pt>
                <c:pt idx="192">
                  <c:v>46370</c:v>
                </c:pt>
                <c:pt idx="193">
                  <c:v>46371</c:v>
                </c:pt>
                <c:pt idx="194">
                  <c:v>46372</c:v>
                </c:pt>
                <c:pt idx="195">
                  <c:v>46373</c:v>
                </c:pt>
                <c:pt idx="196">
                  <c:v>46374</c:v>
                </c:pt>
                <c:pt idx="197">
                  <c:v>46375</c:v>
                </c:pt>
                <c:pt idx="198">
                  <c:v>46376</c:v>
                </c:pt>
                <c:pt idx="199">
                  <c:v>46377</c:v>
                </c:pt>
                <c:pt idx="200">
                  <c:v>46378</c:v>
                </c:pt>
                <c:pt idx="201">
                  <c:v>46379</c:v>
                </c:pt>
                <c:pt idx="202">
                  <c:v>46380</c:v>
                </c:pt>
                <c:pt idx="203">
                  <c:v>46381</c:v>
                </c:pt>
                <c:pt idx="204">
                  <c:v>46382</c:v>
                </c:pt>
                <c:pt idx="205">
                  <c:v>46383</c:v>
                </c:pt>
                <c:pt idx="206">
                  <c:v>46384</c:v>
                </c:pt>
                <c:pt idx="207">
                  <c:v>46385</c:v>
                </c:pt>
                <c:pt idx="208">
                  <c:v>46386</c:v>
                </c:pt>
                <c:pt idx="209">
                  <c:v>46387</c:v>
                </c:pt>
                <c:pt idx="210">
                  <c:v>46388</c:v>
                </c:pt>
                <c:pt idx="211">
                  <c:v>46389</c:v>
                </c:pt>
                <c:pt idx="212">
                  <c:v>46390</c:v>
                </c:pt>
                <c:pt idx="213">
                  <c:v>46391</c:v>
                </c:pt>
                <c:pt idx="214">
                  <c:v>46392</c:v>
                </c:pt>
                <c:pt idx="215">
                  <c:v>46393</c:v>
                </c:pt>
                <c:pt idx="216">
                  <c:v>46394</c:v>
                </c:pt>
                <c:pt idx="217">
                  <c:v>46395</c:v>
                </c:pt>
                <c:pt idx="218">
                  <c:v>46396</c:v>
                </c:pt>
                <c:pt idx="219">
                  <c:v>46397</c:v>
                </c:pt>
                <c:pt idx="220">
                  <c:v>46398</c:v>
                </c:pt>
                <c:pt idx="221">
                  <c:v>46399</c:v>
                </c:pt>
                <c:pt idx="222">
                  <c:v>46400</c:v>
                </c:pt>
                <c:pt idx="223">
                  <c:v>46401</c:v>
                </c:pt>
                <c:pt idx="224">
                  <c:v>46402</c:v>
                </c:pt>
                <c:pt idx="225">
                  <c:v>46403</c:v>
                </c:pt>
                <c:pt idx="226">
                  <c:v>46404</c:v>
                </c:pt>
                <c:pt idx="227">
                  <c:v>46405</c:v>
                </c:pt>
                <c:pt idx="228">
                  <c:v>46406</c:v>
                </c:pt>
                <c:pt idx="229">
                  <c:v>46407</c:v>
                </c:pt>
                <c:pt idx="230">
                  <c:v>46408</c:v>
                </c:pt>
                <c:pt idx="231">
                  <c:v>46409</c:v>
                </c:pt>
                <c:pt idx="232">
                  <c:v>46410</c:v>
                </c:pt>
                <c:pt idx="233">
                  <c:v>46411</c:v>
                </c:pt>
                <c:pt idx="234">
                  <c:v>46412</c:v>
                </c:pt>
                <c:pt idx="235">
                  <c:v>46413</c:v>
                </c:pt>
                <c:pt idx="236">
                  <c:v>46414</c:v>
                </c:pt>
                <c:pt idx="237">
                  <c:v>46415</c:v>
                </c:pt>
                <c:pt idx="238">
                  <c:v>46416</c:v>
                </c:pt>
                <c:pt idx="239">
                  <c:v>46417</c:v>
                </c:pt>
                <c:pt idx="240">
                  <c:v>46418</c:v>
                </c:pt>
                <c:pt idx="241">
                  <c:v>46419</c:v>
                </c:pt>
                <c:pt idx="242">
                  <c:v>46420</c:v>
                </c:pt>
                <c:pt idx="243">
                  <c:v>46421</c:v>
                </c:pt>
                <c:pt idx="244">
                  <c:v>46422</c:v>
                </c:pt>
                <c:pt idx="245">
                  <c:v>46423</c:v>
                </c:pt>
                <c:pt idx="246">
                  <c:v>46424</c:v>
                </c:pt>
                <c:pt idx="247">
                  <c:v>46425</c:v>
                </c:pt>
                <c:pt idx="248">
                  <c:v>46426</c:v>
                </c:pt>
                <c:pt idx="249">
                  <c:v>46427</c:v>
                </c:pt>
                <c:pt idx="250">
                  <c:v>46428</c:v>
                </c:pt>
                <c:pt idx="251">
                  <c:v>46429</c:v>
                </c:pt>
                <c:pt idx="252">
                  <c:v>46430</c:v>
                </c:pt>
                <c:pt idx="253">
                  <c:v>46431</c:v>
                </c:pt>
                <c:pt idx="254">
                  <c:v>46432</c:v>
                </c:pt>
                <c:pt idx="255">
                  <c:v>46433</c:v>
                </c:pt>
                <c:pt idx="256">
                  <c:v>46434</c:v>
                </c:pt>
                <c:pt idx="257">
                  <c:v>46435</c:v>
                </c:pt>
                <c:pt idx="258">
                  <c:v>46436</c:v>
                </c:pt>
                <c:pt idx="259">
                  <c:v>46437</c:v>
                </c:pt>
                <c:pt idx="260">
                  <c:v>46438</c:v>
                </c:pt>
                <c:pt idx="261">
                  <c:v>46439</c:v>
                </c:pt>
                <c:pt idx="262">
                  <c:v>46440</c:v>
                </c:pt>
                <c:pt idx="263">
                  <c:v>46441</c:v>
                </c:pt>
                <c:pt idx="264">
                  <c:v>46442</c:v>
                </c:pt>
                <c:pt idx="265">
                  <c:v>46443</c:v>
                </c:pt>
                <c:pt idx="266">
                  <c:v>46444</c:v>
                </c:pt>
                <c:pt idx="267">
                  <c:v>46445</c:v>
                </c:pt>
                <c:pt idx="268">
                  <c:v>46446</c:v>
                </c:pt>
                <c:pt idx="269">
                  <c:v>46447</c:v>
                </c:pt>
                <c:pt idx="270">
                  <c:v>46448</c:v>
                </c:pt>
                <c:pt idx="271">
                  <c:v>46449</c:v>
                </c:pt>
                <c:pt idx="272">
                  <c:v>46450</c:v>
                </c:pt>
                <c:pt idx="273">
                  <c:v>46451</c:v>
                </c:pt>
                <c:pt idx="274">
                  <c:v>46452</c:v>
                </c:pt>
                <c:pt idx="275">
                  <c:v>46453</c:v>
                </c:pt>
                <c:pt idx="276">
                  <c:v>46454</c:v>
                </c:pt>
                <c:pt idx="277">
                  <c:v>46455</c:v>
                </c:pt>
                <c:pt idx="278">
                  <c:v>46456</c:v>
                </c:pt>
                <c:pt idx="279">
                  <c:v>46457</c:v>
                </c:pt>
                <c:pt idx="280">
                  <c:v>46458</c:v>
                </c:pt>
                <c:pt idx="281">
                  <c:v>46459</c:v>
                </c:pt>
                <c:pt idx="282">
                  <c:v>46460</c:v>
                </c:pt>
                <c:pt idx="283">
                  <c:v>46461</c:v>
                </c:pt>
                <c:pt idx="284">
                  <c:v>46462</c:v>
                </c:pt>
                <c:pt idx="285">
                  <c:v>46463</c:v>
                </c:pt>
                <c:pt idx="286">
                  <c:v>46464</c:v>
                </c:pt>
                <c:pt idx="287">
                  <c:v>46465</c:v>
                </c:pt>
                <c:pt idx="288">
                  <c:v>46466</c:v>
                </c:pt>
                <c:pt idx="289">
                  <c:v>46467</c:v>
                </c:pt>
                <c:pt idx="290">
                  <c:v>46468</c:v>
                </c:pt>
                <c:pt idx="291">
                  <c:v>46469</c:v>
                </c:pt>
                <c:pt idx="292">
                  <c:v>46470</c:v>
                </c:pt>
                <c:pt idx="293">
                  <c:v>46471</c:v>
                </c:pt>
                <c:pt idx="294">
                  <c:v>46472</c:v>
                </c:pt>
                <c:pt idx="295">
                  <c:v>46473</c:v>
                </c:pt>
                <c:pt idx="296">
                  <c:v>46474</c:v>
                </c:pt>
                <c:pt idx="297">
                  <c:v>46475</c:v>
                </c:pt>
                <c:pt idx="298">
                  <c:v>46476</c:v>
                </c:pt>
                <c:pt idx="299">
                  <c:v>46477</c:v>
                </c:pt>
                <c:pt idx="300">
                  <c:v>46478</c:v>
                </c:pt>
                <c:pt idx="301">
                  <c:v>46479</c:v>
                </c:pt>
                <c:pt idx="302">
                  <c:v>46480</c:v>
                </c:pt>
                <c:pt idx="303">
                  <c:v>46481</c:v>
                </c:pt>
                <c:pt idx="304">
                  <c:v>46482</c:v>
                </c:pt>
                <c:pt idx="305">
                  <c:v>46483</c:v>
                </c:pt>
                <c:pt idx="306">
                  <c:v>46484</c:v>
                </c:pt>
                <c:pt idx="307">
                  <c:v>46485</c:v>
                </c:pt>
                <c:pt idx="308">
                  <c:v>46486</c:v>
                </c:pt>
                <c:pt idx="309">
                  <c:v>46487</c:v>
                </c:pt>
                <c:pt idx="310">
                  <c:v>46488</c:v>
                </c:pt>
                <c:pt idx="311">
                  <c:v>46489</c:v>
                </c:pt>
                <c:pt idx="312">
                  <c:v>46490</c:v>
                </c:pt>
                <c:pt idx="313">
                  <c:v>46491</c:v>
                </c:pt>
                <c:pt idx="314">
                  <c:v>46492</c:v>
                </c:pt>
                <c:pt idx="315">
                  <c:v>46493</c:v>
                </c:pt>
                <c:pt idx="316">
                  <c:v>46494</c:v>
                </c:pt>
                <c:pt idx="317">
                  <c:v>46495</c:v>
                </c:pt>
                <c:pt idx="318">
                  <c:v>46496</c:v>
                </c:pt>
                <c:pt idx="319">
                  <c:v>46497</c:v>
                </c:pt>
                <c:pt idx="320">
                  <c:v>46498</c:v>
                </c:pt>
                <c:pt idx="321">
                  <c:v>46499</c:v>
                </c:pt>
                <c:pt idx="322">
                  <c:v>46500</c:v>
                </c:pt>
                <c:pt idx="323">
                  <c:v>46501</c:v>
                </c:pt>
                <c:pt idx="324">
                  <c:v>46502</c:v>
                </c:pt>
                <c:pt idx="325">
                  <c:v>46503</c:v>
                </c:pt>
                <c:pt idx="326">
                  <c:v>46504</c:v>
                </c:pt>
                <c:pt idx="327">
                  <c:v>46505</c:v>
                </c:pt>
                <c:pt idx="328">
                  <c:v>46506</c:v>
                </c:pt>
                <c:pt idx="329">
                  <c:v>46507</c:v>
                </c:pt>
                <c:pt idx="330">
                  <c:v>46508</c:v>
                </c:pt>
                <c:pt idx="331">
                  <c:v>46509</c:v>
                </c:pt>
                <c:pt idx="332">
                  <c:v>46510</c:v>
                </c:pt>
                <c:pt idx="333">
                  <c:v>46511</c:v>
                </c:pt>
                <c:pt idx="334">
                  <c:v>46512</c:v>
                </c:pt>
                <c:pt idx="335">
                  <c:v>46513</c:v>
                </c:pt>
                <c:pt idx="336">
                  <c:v>46514</c:v>
                </c:pt>
                <c:pt idx="337">
                  <c:v>46515</c:v>
                </c:pt>
                <c:pt idx="338">
                  <c:v>46516</c:v>
                </c:pt>
                <c:pt idx="339">
                  <c:v>46517</c:v>
                </c:pt>
                <c:pt idx="340">
                  <c:v>46518</c:v>
                </c:pt>
                <c:pt idx="341">
                  <c:v>46519</c:v>
                </c:pt>
                <c:pt idx="342">
                  <c:v>46520</c:v>
                </c:pt>
                <c:pt idx="343">
                  <c:v>46521</c:v>
                </c:pt>
                <c:pt idx="344">
                  <c:v>46522</c:v>
                </c:pt>
                <c:pt idx="345">
                  <c:v>46523</c:v>
                </c:pt>
                <c:pt idx="346">
                  <c:v>46524</c:v>
                </c:pt>
                <c:pt idx="347">
                  <c:v>46525</c:v>
                </c:pt>
                <c:pt idx="348">
                  <c:v>46526</c:v>
                </c:pt>
                <c:pt idx="349">
                  <c:v>46527</c:v>
                </c:pt>
                <c:pt idx="350">
                  <c:v>46528</c:v>
                </c:pt>
                <c:pt idx="351">
                  <c:v>46529</c:v>
                </c:pt>
                <c:pt idx="352">
                  <c:v>46530</c:v>
                </c:pt>
                <c:pt idx="353">
                  <c:v>46531</c:v>
                </c:pt>
                <c:pt idx="354">
                  <c:v>46532</c:v>
                </c:pt>
                <c:pt idx="355">
                  <c:v>46533</c:v>
                </c:pt>
                <c:pt idx="356">
                  <c:v>46534</c:v>
                </c:pt>
                <c:pt idx="357">
                  <c:v>46535</c:v>
                </c:pt>
                <c:pt idx="358">
                  <c:v>46536</c:v>
                </c:pt>
                <c:pt idx="359">
                  <c:v>46537</c:v>
                </c:pt>
                <c:pt idx="360">
                  <c:v>46538</c:v>
                </c:pt>
                <c:pt idx="361">
                  <c:v>46539</c:v>
                </c:pt>
                <c:pt idx="362">
                  <c:v>46540</c:v>
                </c:pt>
                <c:pt idx="363">
                  <c:v>46541</c:v>
                </c:pt>
                <c:pt idx="364">
                  <c:v>46542</c:v>
                </c:pt>
                <c:pt idx="365">
                  <c:v>46543</c:v>
                </c:pt>
                <c:pt idx="366">
                  <c:v>46544</c:v>
                </c:pt>
                <c:pt idx="367">
                  <c:v>46545</c:v>
                </c:pt>
                <c:pt idx="368">
                  <c:v>46546</c:v>
                </c:pt>
                <c:pt idx="369">
                  <c:v>46547</c:v>
                </c:pt>
              </c:numCache>
            </c:numRef>
          </c:cat>
          <c:val>
            <c:numRef>
              <c:f>Weight_Log!$C$2:$C$371</c:f>
              <c:numCache>
                <c:formatCode>General</c:formatCode>
                <c:ptCount val="37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24-4B22-8BBB-F7CB6512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总摄入</c:v>
          </c:tx>
          <c:cat>
            <c:numRef>
              <c:f>Weekly_Summary!$A$2:$A$55</c:f>
              <c:numCache>
                <c:formatCode>General</c:formatCode>
                <c:ptCount val="54"/>
                <c:pt idx="0">
                  <c:v>46178</c:v>
                </c:pt>
                <c:pt idx="1">
                  <c:v>46185</c:v>
                </c:pt>
                <c:pt idx="2">
                  <c:v>46192</c:v>
                </c:pt>
                <c:pt idx="3">
                  <c:v>46199</c:v>
                </c:pt>
                <c:pt idx="4">
                  <c:v>46206</c:v>
                </c:pt>
                <c:pt idx="5">
                  <c:v>46213</c:v>
                </c:pt>
                <c:pt idx="6">
                  <c:v>46220</c:v>
                </c:pt>
                <c:pt idx="7">
                  <c:v>46227</c:v>
                </c:pt>
                <c:pt idx="8">
                  <c:v>46234</c:v>
                </c:pt>
                <c:pt idx="9">
                  <c:v>46241</c:v>
                </c:pt>
                <c:pt idx="10">
                  <c:v>46248</c:v>
                </c:pt>
                <c:pt idx="11">
                  <c:v>46255</c:v>
                </c:pt>
                <c:pt idx="12">
                  <c:v>46262</c:v>
                </c:pt>
                <c:pt idx="13">
                  <c:v>46269</c:v>
                </c:pt>
                <c:pt idx="14">
                  <c:v>46276</c:v>
                </c:pt>
                <c:pt idx="15">
                  <c:v>46283</c:v>
                </c:pt>
                <c:pt idx="16">
                  <c:v>46290</c:v>
                </c:pt>
                <c:pt idx="17">
                  <c:v>46297</c:v>
                </c:pt>
                <c:pt idx="18">
                  <c:v>46304</c:v>
                </c:pt>
                <c:pt idx="19">
                  <c:v>46311</c:v>
                </c:pt>
                <c:pt idx="20">
                  <c:v>46318</c:v>
                </c:pt>
                <c:pt idx="21">
                  <c:v>46325</c:v>
                </c:pt>
                <c:pt idx="22">
                  <c:v>46332</c:v>
                </c:pt>
                <c:pt idx="23">
                  <c:v>46339</c:v>
                </c:pt>
                <c:pt idx="24">
                  <c:v>46346</c:v>
                </c:pt>
                <c:pt idx="25">
                  <c:v>46353</c:v>
                </c:pt>
                <c:pt idx="26">
                  <c:v>46360</c:v>
                </c:pt>
                <c:pt idx="27">
                  <c:v>46367</c:v>
                </c:pt>
                <c:pt idx="28">
                  <c:v>46374</c:v>
                </c:pt>
                <c:pt idx="29">
                  <c:v>46381</c:v>
                </c:pt>
                <c:pt idx="30">
                  <c:v>46388</c:v>
                </c:pt>
                <c:pt idx="31">
                  <c:v>46395</c:v>
                </c:pt>
                <c:pt idx="32">
                  <c:v>46402</c:v>
                </c:pt>
                <c:pt idx="33">
                  <c:v>46409</c:v>
                </c:pt>
                <c:pt idx="34">
                  <c:v>46416</c:v>
                </c:pt>
                <c:pt idx="35">
                  <c:v>46423</c:v>
                </c:pt>
                <c:pt idx="36">
                  <c:v>46430</c:v>
                </c:pt>
                <c:pt idx="37">
                  <c:v>46437</c:v>
                </c:pt>
                <c:pt idx="38">
                  <c:v>46444</c:v>
                </c:pt>
                <c:pt idx="39">
                  <c:v>46451</c:v>
                </c:pt>
                <c:pt idx="40">
                  <c:v>46458</c:v>
                </c:pt>
                <c:pt idx="41">
                  <c:v>46465</c:v>
                </c:pt>
                <c:pt idx="42">
                  <c:v>46472</c:v>
                </c:pt>
                <c:pt idx="43">
                  <c:v>46479</c:v>
                </c:pt>
                <c:pt idx="44">
                  <c:v>46486</c:v>
                </c:pt>
                <c:pt idx="45">
                  <c:v>46493</c:v>
                </c:pt>
                <c:pt idx="46">
                  <c:v>46500</c:v>
                </c:pt>
                <c:pt idx="47">
                  <c:v>46507</c:v>
                </c:pt>
                <c:pt idx="48">
                  <c:v>46514</c:v>
                </c:pt>
                <c:pt idx="49">
                  <c:v>46521</c:v>
                </c:pt>
                <c:pt idx="50">
                  <c:v>46528</c:v>
                </c:pt>
                <c:pt idx="51">
                  <c:v>46535</c:v>
                </c:pt>
                <c:pt idx="52">
                  <c:v>46542</c:v>
                </c:pt>
                <c:pt idx="53">
                  <c:v>46549</c:v>
                </c:pt>
              </c:numCache>
            </c:numRef>
          </c:cat>
          <c:val>
            <c:numRef>
              <c:f>Weekly_Summary!$B$2:$B$55</c:f>
              <c:numCache>
                <c:formatCode>General</c:formatCode>
                <c:ptCount val="54"/>
                <c:pt idx="0">
                  <c:v>11787.5</c:v>
                </c:pt>
                <c:pt idx="1">
                  <c:v>12062.5</c:v>
                </c:pt>
                <c:pt idx="2">
                  <c:v>11912.5</c:v>
                </c:pt>
                <c:pt idx="3">
                  <c:v>11812.5</c:v>
                </c:pt>
                <c:pt idx="4">
                  <c:v>11787.5</c:v>
                </c:pt>
                <c:pt idx="5">
                  <c:v>12062.5</c:v>
                </c:pt>
                <c:pt idx="6">
                  <c:v>11912.5</c:v>
                </c:pt>
                <c:pt idx="7">
                  <c:v>11812.5</c:v>
                </c:pt>
                <c:pt idx="8">
                  <c:v>11787.5</c:v>
                </c:pt>
                <c:pt idx="9">
                  <c:v>12062.5</c:v>
                </c:pt>
                <c:pt idx="10">
                  <c:v>11912.5</c:v>
                </c:pt>
                <c:pt idx="11">
                  <c:v>11812.5</c:v>
                </c:pt>
                <c:pt idx="12">
                  <c:v>11787.5</c:v>
                </c:pt>
                <c:pt idx="13">
                  <c:v>12062.5</c:v>
                </c:pt>
                <c:pt idx="14">
                  <c:v>11912.5</c:v>
                </c:pt>
                <c:pt idx="15">
                  <c:v>11812.5</c:v>
                </c:pt>
                <c:pt idx="16">
                  <c:v>11787.5</c:v>
                </c:pt>
                <c:pt idx="17">
                  <c:v>12062.5</c:v>
                </c:pt>
                <c:pt idx="18">
                  <c:v>11912.5</c:v>
                </c:pt>
                <c:pt idx="19">
                  <c:v>11812.5</c:v>
                </c:pt>
                <c:pt idx="20">
                  <c:v>11787.5</c:v>
                </c:pt>
                <c:pt idx="21">
                  <c:v>12062.5</c:v>
                </c:pt>
                <c:pt idx="22">
                  <c:v>11912.5</c:v>
                </c:pt>
                <c:pt idx="23">
                  <c:v>11812.5</c:v>
                </c:pt>
                <c:pt idx="24">
                  <c:v>11787.5</c:v>
                </c:pt>
                <c:pt idx="25">
                  <c:v>12062.5</c:v>
                </c:pt>
                <c:pt idx="26">
                  <c:v>11912.5</c:v>
                </c:pt>
                <c:pt idx="27">
                  <c:v>11812.5</c:v>
                </c:pt>
                <c:pt idx="28">
                  <c:v>11787.5</c:v>
                </c:pt>
                <c:pt idx="29">
                  <c:v>12062.5</c:v>
                </c:pt>
                <c:pt idx="30">
                  <c:v>11912.5</c:v>
                </c:pt>
                <c:pt idx="31">
                  <c:v>11812.5</c:v>
                </c:pt>
                <c:pt idx="32">
                  <c:v>11787.5</c:v>
                </c:pt>
                <c:pt idx="33">
                  <c:v>12062.5</c:v>
                </c:pt>
                <c:pt idx="34">
                  <c:v>11912.5</c:v>
                </c:pt>
                <c:pt idx="35">
                  <c:v>11812.5</c:v>
                </c:pt>
                <c:pt idx="36">
                  <c:v>11787.5</c:v>
                </c:pt>
                <c:pt idx="37">
                  <c:v>12062.5</c:v>
                </c:pt>
                <c:pt idx="38">
                  <c:v>11912.5</c:v>
                </c:pt>
                <c:pt idx="39">
                  <c:v>11812.5</c:v>
                </c:pt>
                <c:pt idx="40">
                  <c:v>11787.5</c:v>
                </c:pt>
                <c:pt idx="41">
                  <c:v>12062.5</c:v>
                </c:pt>
                <c:pt idx="42">
                  <c:v>11912.5</c:v>
                </c:pt>
                <c:pt idx="43">
                  <c:v>11812.5</c:v>
                </c:pt>
                <c:pt idx="44">
                  <c:v>11787.5</c:v>
                </c:pt>
                <c:pt idx="45">
                  <c:v>12062.5</c:v>
                </c:pt>
                <c:pt idx="46">
                  <c:v>11912.5</c:v>
                </c:pt>
                <c:pt idx="47">
                  <c:v>11812.5</c:v>
                </c:pt>
                <c:pt idx="48">
                  <c:v>11787.5</c:v>
                </c:pt>
                <c:pt idx="49">
                  <c:v>12062.5</c:v>
                </c:pt>
                <c:pt idx="50">
                  <c:v>11912.5</c:v>
                </c:pt>
                <c:pt idx="51">
                  <c:v>11812.5</c:v>
                </c:pt>
                <c:pt idx="52">
                  <c:v>10400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7-4382-890A-C2F3B9CC6683}"/>
            </c:ext>
          </c:extLst>
        </c:ser>
        <c:ser>
          <c:idx val="1"/>
          <c:order val="1"/>
          <c:tx>
            <c:v>总消耗</c:v>
          </c:tx>
          <c:cat>
            <c:numRef>
              <c:f>Weekly_Summary!$A$2:$A$55</c:f>
              <c:numCache>
                <c:formatCode>General</c:formatCode>
                <c:ptCount val="54"/>
                <c:pt idx="0">
                  <c:v>46178</c:v>
                </c:pt>
                <c:pt idx="1">
                  <c:v>46185</c:v>
                </c:pt>
                <c:pt idx="2">
                  <c:v>46192</c:v>
                </c:pt>
                <c:pt idx="3">
                  <c:v>46199</c:v>
                </c:pt>
                <c:pt idx="4">
                  <c:v>46206</c:v>
                </c:pt>
                <c:pt idx="5">
                  <c:v>46213</c:v>
                </c:pt>
                <c:pt idx="6">
                  <c:v>46220</c:v>
                </c:pt>
                <c:pt idx="7">
                  <c:v>46227</c:v>
                </c:pt>
                <c:pt idx="8">
                  <c:v>46234</c:v>
                </c:pt>
                <c:pt idx="9">
                  <c:v>46241</c:v>
                </c:pt>
                <c:pt idx="10">
                  <c:v>46248</c:v>
                </c:pt>
                <c:pt idx="11">
                  <c:v>46255</c:v>
                </c:pt>
                <c:pt idx="12">
                  <c:v>46262</c:v>
                </c:pt>
                <c:pt idx="13">
                  <c:v>46269</c:v>
                </c:pt>
                <c:pt idx="14">
                  <c:v>46276</c:v>
                </c:pt>
                <c:pt idx="15">
                  <c:v>46283</c:v>
                </c:pt>
                <c:pt idx="16">
                  <c:v>46290</c:v>
                </c:pt>
                <c:pt idx="17">
                  <c:v>46297</c:v>
                </c:pt>
                <c:pt idx="18">
                  <c:v>46304</c:v>
                </c:pt>
                <c:pt idx="19">
                  <c:v>46311</c:v>
                </c:pt>
                <c:pt idx="20">
                  <c:v>46318</c:v>
                </c:pt>
                <c:pt idx="21">
                  <c:v>46325</c:v>
                </c:pt>
                <c:pt idx="22">
                  <c:v>46332</c:v>
                </c:pt>
                <c:pt idx="23">
                  <c:v>46339</c:v>
                </c:pt>
                <c:pt idx="24">
                  <c:v>46346</c:v>
                </c:pt>
                <c:pt idx="25">
                  <c:v>46353</c:v>
                </c:pt>
                <c:pt idx="26">
                  <c:v>46360</c:v>
                </c:pt>
                <c:pt idx="27">
                  <c:v>46367</c:v>
                </c:pt>
                <c:pt idx="28">
                  <c:v>46374</c:v>
                </c:pt>
                <c:pt idx="29">
                  <c:v>46381</c:v>
                </c:pt>
                <c:pt idx="30">
                  <c:v>46388</c:v>
                </c:pt>
                <c:pt idx="31">
                  <c:v>46395</c:v>
                </c:pt>
                <c:pt idx="32">
                  <c:v>46402</c:v>
                </c:pt>
                <c:pt idx="33">
                  <c:v>46409</c:v>
                </c:pt>
                <c:pt idx="34">
                  <c:v>46416</c:v>
                </c:pt>
                <c:pt idx="35">
                  <c:v>46423</c:v>
                </c:pt>
                <c:pt idx="36">
                  <c:v>46430</c:v>
                </c:pt>
                <c:pt idx="37">
                  <c:v>46437</c:v>
                </c:pt>
                <c:pt idx="38">
                  <c:v>46444</c:v>
                </c:pt>
                <c:pt idx="39">
                  <c:v>46451</c:v>
                </c:pt>
                <c:pt idx="40">
                  <c:v>46458</c:v>
                </c:pt>
                <c:pt idx="41">
                  <c:v>46465</c:v>
                </c:pt>
                <c:pt idx="42">
                  <c:v>46472</c:v>
                </c:pt>
                <c:pt idx="43">
                  <c:v>46479</c:v>
                </c:pt>
                <c:pt idx="44">
                  <c:v>46486</c:v>
                </c:pt>
                <c:pt idx="45">
                  <c:v>46493</c:v>
                </c:pt>
                <c:pt idx="46">
                  <c:v>46500</c:v>
                </c:pt>
                <c:pt idx="47">
                  <c:v>46507</c:v>
                </c:pt>
                <c:pt idx="48">
                  <c:v>46514</c:v>
                </c:pt>
                <c:pt idx="49">
                  <c:v>46521</c:v>
                </c:pt>
                <c:pt idx="50">
                  <c:v>46528</c:v>
                </c:pt>
                <c:pt idx="51">
                  <c:v>46535</c:v>
                </c:pt>
                <c:pt idx="52">
                  <c:v>46542</c:v>
                </c:pt>
                <c:pt idx="53">
                  <c:v>46549</c:v>
                </c:pt>
              </c:numCache>
            </c:numRef>
          </c:cat>
          <c:val>
            <c:numRef>
              <c:f>Weekly_Summary!$C$2:$C$55</c:f>
              <c:numCache>
                <c:formatCode>General</c:formatCode>
                <c:ptCount val="54"/>
                <c:pt idx="0">
                  <c:v>21600</c:v>
                </c:pt>
                <c:pt idx="1">
                  <c:v>21600</c:v>
                </c:pt>
                <c:pt idx="2">
                  <c:v>21600</c:v>
                </c:pt>
                <c:pt idx="3">
                  <c:v>21600</c:v>
                </c:pt>
                <c:pt idx="4">
                  <c:v>21600</c:v>
                </c:pt>
                <c:pt idx="5">
                  <c:v>21600</c:v>
                </c:pt>
                <c:pt idx="6">
                  <c:v>21600</c:v>
                </c:pt>
                <c:pt idx="7">
                  <c:v>21600</c:v>
                </c:pt>
                <c:pt idx="8">
                  <c:v>21600</c:v>
                </c:pt>
                <c:pt idx="9">
                  <c:v>21600</c:v>
                </c:pt>
                <c:pt idx="10">
                  <c:v>21600</c:v>
                </c:pt>
                <c:pt idx="11">
                  <c:v>21600</c:v>
                </c:pt>
                <c:pt idx="12">
                  <c:v>21600</c:v>
                </c:pt>
                <c:pt idx="13">
                  <c:v>21600</c:v>
                </c:pt>
                <c:pt idx="14">
                  <c:v>21600</c:v>
                </c:pt>
                <c:pt idx="15">
                  <c:v>21600</c:v>
                </c:pt>
                <c:pt idx="16">
                  <c:v>21600</c:v>
                </c:pt>
                <c:pt idx="17">
                  <c:v>21600</c:v>
                </c:pt>
                <c:pt idx="18">
                  <c:v>21600</c:v>
                </c:pt>
                <c:pt idx="19">
                  <c:v>21600</c:v>
                </c:pt>
                <c:pt idx="20">
                  <c:v>21600</c:v>
                </c:pt>
                <c:pt idx="21">
                  <c:v>21600</c:v>
                </c:pt>
                <c:pt idx="22">
                  <c:v>21600</c:v>
                </c:pt>
                <c:pt idx="23">
                  <c:v>21600</c:v>
                </c:pt>
                <c:pt idx="24">
                  <c:v>21600</c:v>
                </c:pt>
                <c:pt idx="25">
                  <c:v>21600</c:v>
                </c:pt>
                <c:pt idx="26">
                  <c:v>21600</c:v>
                </c:pt>
                <c:pt idx="27">
                  <c:v>21600</c:v>
                </c:pt>
                <c:pt idx="28">
                  <c:v>21600</c:v>
                </c:pt>
                <c:pt idx="29">
                  <c:v>21600</c:v>
                </c:pt>
                <c:pt idx="30">
                  <c:v>21600</c:v>
                </c:pt>
                <c:pt idx="31">
                  <c:v>21600</c:v>
                </c:pt>
                <c:pt idx="32">
                  <c:v>21600</c:v>
                </c:pt>
                <c:pt idx="33">
                  <c:v>21600</c:v>
                </c:pt>
                <c:pt idx="34">
                  <c:v>21600</c:v>
                </c:pt>
                <c:pt idx="35">
                  <c:v>21600</c:v>
                </c:pt>
                <c:pt idx="36">
                  <c:v>21600</c:v>
                </c:pt>
                <c:pt idx="37">
                  <c:v>21600</c:v>
                </c:pt>
                <c:pt idx="38">
                  <c:v>21600</c:v>
                </c:pt>
                <c:pt idx="39">
                  <c:v>21600</c:v>
                </c:pt>
                <c:pt idx="40">
                  <c:v>21600</c:v>
                </c:pt>
                <c:pt idx="41">
                  <c:v>21600</c:v>
                </c:pt>
                <c:pt idx="42">
                  <c:v>21600</c:v>
                </c:pt>
                <c:pt idx="43">
                  <c:v>21600</c:v>
                </c:pt>
                <c:pt idx="44">
                  <c:v>21600</c:v>
                </c:pt>
                <c:pt idx="45">
                  <c:v>21600</c:v>
                </c:pt>
                <c:pt idx="46">
                  <c:v>21600</c:v>
                </c:pt>
                <c:pt idx="47">
                  <c:v>21600</c:v>
                </c:pt>
                <c:pt idx="48">
                  <c:v>21600</c:v>
                </c:pt>
                <c:pt idx="49">
                  <c:v>21600</c:v>
                </c:pt>
                <c:pt idx="50">
                  <c:v>21600</c:v>
                </c:pt>
                <c:pt idx="51">
                  <c:v>21600</c:v>
                </c:pt>
                <c:pt idx="52">
                  <c:v>18880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7-4382-890A-C2F3B9CC6683}"/>
            </c:ext>
          </c:extLst>
        </c:ser>
        <c:ser>
          <c:idx val="2"/>
          <c:order val="2"/>
          <c:tx>
            <c:v>净热量</c:v>
          </c:tx>
          <c:cat>
            <c:numRef>
              <c:f>Weekly_Summary!$A$2:$A$55</c:f>
              <c:numCache>
                <c:formatCode>General</c:formatCode>
                <c:ptCount val="54"/>
                <c:pt idx="0">
                  <c:v>46178</c:v>
                </c:pt>
                <c:pt idx="1">
                  <c:v>46185</c:v>
                </c:pt>
                <c:pt idx="2">
                  <c:v>46192</c:v>
                </c:pt>
                <c:pt idx="3">
                  <c:v>46199</c:v>
                </c:pt>
                <c:pt idx="4">
                  <c:v>46206</c:v>
                </c:pt>
                <c:pt idx="5">
                  <c:v>46213</c:v>
                </c:pt>
                <c:pt idx="6">
                  <c:v>46220</c:v>
                </c:pt>
                <c:pt idx="7">
                  <c:v>46227</c:v>
                </c:pt>
                <c:pt idx="8">
                  <c:v>46234</c:v>
                </c:pt>
                <c:pt idx="9">
                  <c:v>46241</c:v>
                </c:pt>
                <c:pt idx="10">
                  <c:v>46248</c:v>
                </c:pt>
                <c:pt idx="11">
                  <c:v>46255</c:v>
                </c:pt>
                <c:pt idx="12">
                  <c:v>46262</c:v>
                </c:pt>
                <c:pt idx="13">
                  <c:v>46269</c:v>
                </c:pt>
                <c:pt idx="14">
                  <c:v>46276</c:v>
                </c:pt>
                <c:pt idx="15">
                  <c:v>46283</c:v>
                </c:pt>
                <c:pt idx="16">
                  <c:v>46290</c:v>
                </c:pt>
                <c:pt idx="17">
                  <c:v>46297</c:v>
                </c:pt>
                <c:pt idx="18">
                  <c:v>46304</c:v>
                </c:pt>
                <c:pt idx="19">
                  <c:v>46311</c:v>
                </c:pt>
                <c:pt idx="20">
                  <c:v>46318</c:v>
                </c:pt>
                <c:pt idx="21">
                  <c:v>46325</c:v>
                </c:pt>
                <c:pt idx="22">
                  <c:v>46332</c:v>
                </c:pt>
                <c:pt idx="23">
                  <c:v>46339</c:v>
                </c:pt>
                <c:pt idx="24">
                  <c:v>46346</c:v>
                </c:pt>
                <c:pt idx="25">
                  <c:v>46353</c:v>
                </c:pt>
                <c:pt idx="26">
                  <c:v>46360</c:v>
                </c:pt>
                <c:pt idx="27">
                  <c:v>46367</c:v>
                </c:pt>
                <c:pt idx="28">
                  <c:v>46374</c:v>
                </c:pt>
                <c:pt idx="29">
                  <c:v>46381</c:v>
                </c:pt>
                <c:pt idx="30">
                  <c:v>46388</c:v>
                </c:pt>
                <c:pt idx="31">
                  <c:v>46395</c:v>
                </c:pt>
                <c:pt idx="32">
                  <c:v>46402</c:v>
                </c:pt>
                <c:pt idx="33">
                  <c:v>46409</c:v>
                </c:pt>
                <c:pt idx="34">
                  <c:v>46416</c:v>
                </c:pt>
                <c:pt idx="35">
                  <c:v>46423</c:v>
                </c:pt>
                <c:pt idx="36">
                  <c:v>46430</c:v>
                </c:pt>
                <c:pt idx="37">
                  <c:v>46437</c:v>
                </c:pt>
                <c:pt idx="38">
                  <c:v>46444</c:v>
                </c:pt>
                <c:pt idx="39">
                  <c:v>46451</c:v>
                </c:pt>
                <c:pt idx="40">
                  <c:v>46458</c:v>
                </c:pt>
                <c:pt idx="41">
                  <c:v>46465</c:v>
                </c:pt>
                <c:pt idx="42">
                  <c:v>46472</c:v>
                </c:pt>
                <c:pt idx="43">
                  <c:v>46479</c:v>
                </c:pt>
                <c:pt idx="44">
                  <c:v>46486</c:v>
                </c:pt>
                <c:pt idx="45">
                  <c:v>46493</c:v>
                </c:pt>
                <c:pt idx="46">
                  <c:v>46500</c:v>
                </c:pt>
                <c:pt idx="47">
                  <c:v>46507</c:v>
                </c:pt>
                <c:pt idx="48">
                  <c:v>46514</c:v>
                </c:pt>
                <c:pt idx="49">
                  <c:v>46521</c:v>
                </c:pt>
                <c:pt idx="50">
                  <c:v>46528</c:v>
                </c:pt>
                <c:pt idx="51">
                  <c:v>46535</c:v>
                </c:pt>
                <c:pt idx="52">
                  <c:v>46542</c:v>
                </c:pt>
                <c:pt idx="53">
                  <c:v>46549</c:v>
                </c:pt>
              </c:numCache>
            </c:numRef>
          </c:cat>
          <c:val>
            <c:numRef>
              <c:f>Weekly_Summary!$D$2:$D$55</c:f>
              <c:numCache>
                <c:formatCode>General</c:formatCode>
                <c:ptCount val="54"/>
                <c:pt idx="0">
                  <c:v>-9812.5</c:v>
                </c:pt>
                <c:pt idx="1">
                  <c:v>-9537.5</c:v>
                </c:pt>
                <c:pt idx="2">
                  <c:v>-9687.5</c:v>
                </c:pt>
                <c:pt idx="3">
                  <c:v>-9787.5</c:v>
                </c:pt>
                <c:pt idx="4">
                  <c:v>-9812.5</c:v>
                </c:pt>
                <c:pt idx="5">
                  <c:v>-9537.5</c:v>
                </c:pt>
                <c:pt idx="6">
                  <c:v>-9687.5</c:v>
                </c:pt>
                <c:pt idx="7">
                  <c:v>-9787.5</c:v>
                </c:pt>
                <c:pt idx="8">
                  <c:v>-9812.5</c:v>
                </c:pt>
                <c:pt idx="9">
                  <c:v>-9537.5</c:v>
                </c:pt>
                <c:pt idx="10">
                  <c:v>-9687.5</c:v>
                </c:pt>
                <c:pt idx="11">
                  <c:v>-9787.5</c:v>
                </c:pt>
                <c:pt idx="12">
                  <c:v>-9812.5</c:v>
                </c:pt>
                <c:pt idx="13">
                  <c:v>-9537.5</c:v>
                </c:pt>
                <c:pt idx="14">
                  <c:v>-9687.5</c:v>
                </c:pt>
                <c:pt idx="15">
                  <c:v>-9787.5</c:v>
                </c:pt>
                <c:pt idx="16">
                  <c:v>-9812.5</c:v>
                </c:pt>
                <c:pt idx="17">
                  <c:v>-9537.5</c:v>
                </c:pt>
                <c:pt idx="18">
                  <c:v>-9687.5</c:v>
                </c:pt>
                <c:pt idx="19">
                  <c:v>-9787.5</c:v>
                </c:pt>
                <c:pt idx="20">
                  <c:v>-9812.5</c:v>
                </c:pt>
                <c:pt idx="21">
                  <c:v>-9537.5</c:v>
                </c:pt>
                <c:pt idx="22">
                  <c:v>-9687.5</c:v>
                </c:pt>
                <c:pt idx="23">
                  <c:v>-9787.5</c:v>
                </c:pt>
                <c:pt idx="24">
                  <c:v>-9812.5</c:v>
                </c:pt>
                <c:pt idx="25">
                  <c:v>-9537.5</c:v>
                </c:pt>
                <c:pt idx="26">
                  <c:v>-9687.5</c:v>
                </c:pt>
                <c:pt idx="27">
                  <c:v>-9787.5</c:v>
                </c:pt>
                <c:pt idx="28">
                  <c:v>-9812.5</c:v>
                </c:pt>
                <c:pt idx="29">
                  <c:v>-9537.5</c:v>
                </c:pt>
                <c:pt idx="30">
                  <c:v>-9687.5</c:v>
                </c:pt>
                <c:pt idx="31">
                  <c:v>-9787.5</c:v>
                </c:pt>
                <c:pt idx="32">
                  <c:v>-9812.5</c:v>
                </c:pt>
                <c:pt idx="33">
                  <c:v>-9537.5</c:v>
                </c:pt>
                <c:pt idx="34">
                  <c:v>-9687.5</c:v>
                </c:pt>
                <c:pt idx="35">
                  <c:v>-9787.5</c:v>
                </c:pt>
                <c:pt idx="36">
                  <c:v>-9812.5</c:v>
                </c:pt>
                <c:pt idx="37">
                  <c:v>-9537.5</c:v>
                </c:pt>
                <c:pt idx="38">
                  <c:v>-9687.5</c:v>
                </c:pt>
                <c:pt idx="39">
                  <c:v>-9787.5</c:v>
                </c:pt>
                <c:pt idx="40">
                  <c:v>-9812.5</c:v>
                </c:pt>
                <c:pt idx="41">
                  <c:v>-9537.5</c:v>
                </c:pt>
                <c:pt idx="42">
                  <c:v>-9687.5</c:v>
                </c:pt>
                <c:pt idx="43">
                  <c:v>-9787.5</c:v>
                </c:pt>
                <c:pt idx="44">
                  <c:v>-9812.5</c:v>
                </c:pt>
                <c:pt idx="45">
                  <c:v>-9537.5</c:v>
                </c:pt>
                <c:pt idx="46">
                  <c:v>-9687.5</c:v>
                </c:pt>
                <c:pt idx="47">
                  <c:v>-9787.5</c:v>
                </c:pt>
                <c:pt idx="48">
                  <c:v>-9812.5</c:v>
                </c:pt>
                <c:pt idx="49">
                  <c:v>-9537.5</c:v>
                </c:pt>
                <c:pt idx="50">
                  <c:v>-9687.5</c:v>
                </c:pt>
                <c:pt idx="51">
                  <c:v>-9787.5</c:v>
                </c:pt>
                <c:pt idx="52">
                  <c:v>-8480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7-4382-890A-C2F3B9CC6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1</xdr:row>
      <xdr:rowOff>0</xdr:rowOff>
    </xdr:from>
    <xdr:to>
      <xdr:col>44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ilyLog" displayName="DailyLog" ref="A1:AI371">
  <tableColumns count="35">
    <tableColumn id="1" xr3:uid="{00000000-0010-0000-0000-000001000000}" name="日期"/>
    <tableColumn id="2" xr3:uid="{00000000-0010-0000-0000-000002000000}" name="星期"/>
    <tableColumn id="3" xr3:uid="{00000000-0010-0000-0000-000003000000}" name="日类型"/>
    <tableColumn id="4" xr3:uid="{00000000-0010-0000-0000-000004000000}" name="鸡蛋 个"/>
    <tableColumn id="5" xr3:uid="{00000000-0010-0000-0000-000005000000}" name="酸奶 g"/>
    <tableColumn id="6" xr3:uid="{00000000-0010-0000-0000-000006000000}" name="麦片 g"/>
    <tableColumn id="7" xr3:uid="{00000000-0010-0000-0000-000007000000}" name="米饭 份"/>
    <tableColumn id="8" xr3:uid="{00000000-0010-0000-0000-000008000000}" name="魔芋丝 g"/>
    <tableColumn id="9" xr3:uid="{00000000-0010-0000-0000-000009000000}" name="蔬菜 g"/>
    <tableColumn id="10" xr3:uid="{00000000-0010-0000-0000-00000A000000}" name="肉类"/>
    <tableColumn id="11" xr3:uid="{00000000-0010-0000-0000-00000B000000}" name="肉 g"/>
    <tableColumn id="12" xr3:uid="{00000000-0010-0000-0000-00000C000000}" name="香蕉 根"/>
    <tableColumn id="13" xr3:uid="{00000000-0010-0000-0000-00000D000000}" name="额外/放纵 kcal"/>
    <tableColumn id="14" xr3:uid="{00000000-0010-0000-0000-00000E000000}" name="鸡蛋 kcal"/>
    <tableColumn id="15" xr3:uid="{00000000-0010-0000-0000-00000F000000}" name="酸奶 kcal"/>
    <tableColumn id="16" xr3:uid="{00000000-0010-0000-0000-000010000000}" name="麦片 kcal"/>
    <tableColumn id="17" xr3:uid="{00000000-0010-0000-0000-000011000000}" name="米饭 kcal"/>
    <tableColumn id="18" xr3:uid="{00000000-0010-0000-0000-000012000000}" name="魔芋 kcal"/>
    <tableColumn id="19" xr3:uid="{00000000-0010-0000-0000-000013000000}" name="蔬菜 kcal"/>
    <tableColumn id="20" xr3:uid="{00000000-0010-0000-0000-000014000000}" name="肉 kcal"/>
    <tableColumn id="21" xr3:uid="{00000000-0010-0000-0000-000015000000}" name="香蕉 kcal"/>
    <tableColumn id="22" xr3:uid="{00000000-0010-0000-0000-000016000000}" name="额外 kcal"/>
    <tableColumn id="23" xr3:uid="{00000000-0010-0000-0000-000017000000}" name="总摄入 kcal"/>
    <tableColumn id="24" xr3:uid="{00000000-0010-0000-0000-000018000000}" name="蛋白质 g"/>
    <tableColumn id="25" xr3:uid="{00000000-0010-0000-0000-000019000000}" name="脂肪 g"/>
    <tableColumn id="26" xr3:uid="{00000000-0010-0000-0000-00001A000000}" name="碳水 g"/>
    <tableColumn id="27" xr3:uid="{00000000-0010-0000-0000-00001B000000}" name="跑步 km"/>
    <tableColumn id="28" xr3:uid="{00000000-0010-0000-0000-00001C000000}" name="力量训练 min"/>
    <tableColumn id="29" xr3:uid="{00000000-0010-0000-0000-00001D000000}" name="波比 个"/>
    <tableColumn id="30" xr3:uid="{00000000-0010-0000-0000-00001E000000}" name="羽毛球 h"/>
    <tableColumn id="31" xr3:uid="{00000000-0010-0000-0000-00001F000000}" name="运动消耗 kcal"/>
    <tableColumn id="32" xr3:uid="{00000000-0010-0000-0000-000020000000}" name="BMR kcal"/>
    <tableColumn id="33" xr3:uid="{00000000-0010-0000-0000-000021000000}" name="总消耗 kcal"/>
    <tableColumn id="34" xr3:uid="{00000000-0010-0000-0000-000022000000}" name="净热量 kcal"/>
    <tableColumn id="35" xr3:uid="{00000000-0010-0000-0000-000023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WeightLog" displayName="WeightLog" ref="A1:E371">
  <tableColumns count="5">
    <tableColumn id="1" xr3:uid="{00000000-0010-0000-0100-000001000000}" name="日期"/>
    <tableColumn id="2" xr3:uid="{00000000-0010-0000-0100-000002000000}" name="体重 kg"/>
    <tableColumn id="3" xr3:uid="{00000000-0010-0000-0100-000003000000}" name="7日均重 kg"/>
    <tableColumn id="4" xr3:uid="{00000000-0010-0000-0100-000004000000}" name="腰围 cm"/>
    <tableColumn id="5" xr3:uid="{00000000-0010-0000-0100-000005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FoodDB" displayName="FoodDB" ref="A1:J15">
  <tableColumns count="10">
    <tableColumn id="1" xr3:uid="{00000000-0010-0000-0200-000001000000}" name="食物/项目"/>
    <tableColumn id="2" xr3:uid="{00000000-0010-0000-0200-000002000000}" name="单位"/>
    <tableColumn id="3" xr3:uid="{00000000-0010-0000-0200-000003000000}" name="每单位热量 kcal"/>
    <tableColumn id="4" xr3:uid="{00000000-0010-0000-0200-000004000000}" name="蛋白质 g"/>
    <tableColumn id="5" xr3:uid="{00000000-0010-0000-0200-000005000000}" name="脂肪 g"/>
    <tableColumn id="6" xr3:uid="{00000000-0010-0000-0200-000006000000}" name="碳水 g"/>
    <tableColumn id="7" xr3:uid="{00000000-0010-0000-0200-000007000000}" name="备注"/>
    <tableColumn id="8" xr3:uid="{00000000-0010-0000-0200-000008000000}" name="可调整"/>
    <tableColumn id="9" xr3:uid="{00000000-0010-0000-0200-000009000000}" name="来源/依据"/>
    <tableColumn id="10" xr3:uid="{00000000-0010-0000-0200-00000A000000}" name="类别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Summary" displayName="WeeklySummary" ref="A1:I55">
  <tableColumns count="9">
    <tableColumn id="1" xr3:uid="{00000000-0010-0000-0300-000001000000}" name="周开始"/>
    <tableColumn id="2" xr3:uid="{00000000-0010-0000-0300-000002000000}" name="总摄入 kcal"/>
    <tableColumn id="3" xr3:uid="{00000000-0010-0000-0300-000003000000}" name="总消耗 kcal"/>
    <tableColumn id="4" xr3:uid="{00000000-0010-0000-0300-000004000000}" name="净热量 kcal"/>
    <tableColumn id="5" xr3:uid="{00000000-0010-0000-0300-000005000000}" name="跑步 km"/>
    <tableColumn id="6" xr3:uid="{00000000-0010-0000-0300-000006000000}" name="羽毛球 h"/>
    <tableColumn id="7" xr3:uid="{00000000-0010-0000-0300-000007000000}" name="平均体重 kg"/>
    <tableColumn id="8" xr3:uid="{00000000-0010-0000-0300-000008000000}" name="体重变化 kg"/>
    <tableColumn id="9" xr3:uid="{00000000-0010-0000-0300-000009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6" sqref="D6"/>
    </sheetView>
  </sheetViews>
  <sheetFormatPr defaultRowHeight="13.8"/>
  <cols>
    <col min="1" max="1" width="18" customWidth="1"/>
    <col min="2" max="2" width="20" customWidth="1"/>
    <col min="3" max="3" width="18" customWidth="1"/>
    <col min="4" max="4" width="34" customWidth="1"/>
  </cols>
  <sheetData>
    <row r="1" spans="1:8" ht="21">
      <c r="A1" s="16" t="s">
        <v>0</v>
      </c>
      <c r="B1" s="16"/>
      <c r="C1" s="16"/>
      <c r="D1" s="16"/>
      <c r="E1" s="16"/>
      <c r="F1" s="16"/>
      <c r="G1" s="16"/>
      <c r="H1" s="16"/>
    </row>
    <row r="3" spans="1:8">
      <c r="A3" s="1" t="s">
        <v>1</v>
      </c>
      <c r="B3" s="1" t="s">
        <v>2</v>
      </c>
    </row>
    <row r="4" spans="1:8">
      <c r="A4" s="10" t="s">
        <v>3</v>
      </c>
      <c r="B4" s="8">
        <v>174</v>
      </c>
    </row>
    <row r="5" spans="1:8">
      <c r="A5" s="10" t="s">
        <v>4</v>
      </c>
      <c r="B5" s="8">
        <v>1700</v>
      </c>
    </row>
    <row r="6" spans="1:8">
      <c r="A6" s="10" t="s">
        <v>5</v>
      </c>
      <c r="B6" s="8">
        <v>80</v>
      </c>
    </row>
    <row r="7" spans="1:8">
      <c r="A7" s="10" t="s">
        <v>6</v>
      </c>
      <c r="B7" s="8">
        <v>70</v>
      </c>
    </row>
    <row r="8" spans="1:8">
      <c r="A8" s="10" t="s">
        <v>7</v>
      </c>
      <c r="B8" s="8">
        <v>2000</v>
      </c>
    </row>
    <row r="9" spans="1:8">
      <c r="A9" s="10" t="s">
        <v>8</v>
      </c>
      <c r="B9" s="8">
        <v>2200</v>
      </c>
    </row>
    <row r="10" spans="1:8">
      <c r="A10" s="10" t="s">
        <v>9</v>
      </c>
      <c r="B10" s="8">
        <v>2600</v>
      </c>
    </row>
    <row r="11" spans="1:8">
      <c r="A11" s="10" t="s">
        <v>10</v>
      </c>
      <c r="B11" s="8" t="s">
        <v>11</v>
      </c>
    </row>
    <row r="13" spans="1:8">
      <c r="A13" s="17" t="s">
        <v>12</v>
      </c>
      <c r="B13" s="17"/>
      <c r="C13" s="17"/>
      <c r="D13" s="17"/>
      <c r="E13" s="17"/>
      <c r="F13" s="17"/>
      <c r="G13" s="17"/>
      <c r="H13" s="17"/>
    </row>
    <row r="14" spans="1:8">
      <c r="A14" s="11" t="s">
        <v>13</v>
      </c>
      <c r="B14" s="12">
        <f>MAX(Daily_Log!A:A)</f>
        <v>46547</v>
      </c>
      <c r="C14" s="11" t="s">
        <v>14</v>
      </c>
      <c r="D14" s="9">
        <f>IFERROR(LOOKUP(2,1/(Daily_Log!W:W&lt;&gt;""),Daily_Log!W:W),"")</f>
        <v>1537.5</v>
      </c>
    </row>
    <row r="15" spans="1:8">
      <c r="A15" s="11" t="s">
        <v>15</v>
      </c>
      <c r="B15" s="13">
        <f>IFERROR(LOOKUP(2,1/(Daily_Log!AG:AG&lt;&gt;""),Daily_Log!AG:AG),"")</f>
        <v>2720</v>
      </c>
      <c r="C15" s="14" t="s">
        <v>16</v>
      </c>
      <c r="D15" s="13">
        <f>IFERROR(LOOKUP(2,1/(Daily_Log!AH:AH&lt;&gt;""),Daily_Log!AH:AH),"")</f>
        <v>-1182.5</v>
      </c>
    </row>
    <row r="16" spans="1:8">
      <c r="A16" s="11" t="s">
        <v>17</v>
      </c>
      <c r="B16" s="13" cm="1">
        <f t="array" ref="B16">IFERROR(LOOKUP(2,1/(Weight_Log!B:B&lt;&gt;""),Weight_Log!B:B),"")</f>
        <v>80</v>
      </c>
      <c r="C16" s="14" t="s">
        <v>18</v>
      </c>
      <c r="D16" s="13">
        <f>IFERROR(LOOKUP(2,1/(Weight_Log!C:C&lt;&gt;""),Weight_Log!C:C),"")</f>
        <v>80</v>
      </c>
    </row>
    <row r="17" spans="1:8">
      <c r="A17" s="11" t="s">
        <v>19</v>
      </c>
      <c r="B17" s="13">
        <f ca="1">IFERROR(AVERAGEIFS(Daily_Log!W:W,Daily_Log!A:A,"&gt;="&amp;TODAY()-6,Daily_Log!A:A,"&lt;="&amp;TODAY()),"")</f>
        <v>2637.5</v>
      </c>
      <c r="C17" s="14" t="s">
        <v>20</v>
      </c>
      <c r="D17" s="13">
        <f ca="1">IFERROR(AVERAGEIFS(Daily_Log!AG:AG,Daily_Log!A:A,"&gt;="&amp;TODAY()-6,Daily_Log!A:A,"&lt;="&amp;TODAY()),"")</f>
        <v>2720</v>
      </c>
    </row>
    <row r="20" spans="1:8">
      <c r="A20" s="17" t="s">
        <v>21</v>
      </c>
      <c r="B20" s="17"/>
      <c r="C20" s="17"/>
      <c r="D20" s="17"/>
      <c r="E20" s="17"/>
      <c r="F20" s="17"/>
      <c r="G20" s="17"/>
      <c r="H20" s="17"/>
    </row>
    <row r="21" spans="1:8" ht="27.6">
      <c r="A21" s="11" t="s">
        <v>22</v>
      </c>
      <c r="B21" s="15" t="s">
        <v>23</v>
      </c>
      <c r="C21" s="15" t="s">
        <v>24</v>
      </c>
      <c r="D21" s="15" t="s">
        <v>25</v>
      </c>
    </row>
    <row r="22" spans="1:8" ht="41.4">
      <c r="A22" s="11" t="s">
        <v>26</v>
      </c>
      <c r="B22" s="15" t="s">
        <v>27</v>
      </c>
      <c r="C22" s="15" t="s">
        <v>28</v>
      </c>
      <c r="D22" s="15" t="s">
        <v>29</v>
      </c>
    </row>
    <row r="23" spans="1:8">
      <c r="A23" s="11" t="s">
        <v>30</v>
      </c>
      <c r="B23" s="15" t="s">
        <v>31</v>
      </c>
      <c r="C23" s="15" t="s">
        <v>32</v>
      </c>
      <c r="D23" s="15" t="s">
        <v>33</v>
      </c>
    </row>
    <row r="24" spans="1:8" ht="27.6">
      <c r="A24" s="11" t="s">
        <v>34</v>
      </c>
      <c r="B24" s="15" t="s">
        <v>35</v>
      </c>
      <c r="C24" s="15" t="s">
        <v>36</v>
      </c>
      <c r="D24" s="15" t="s">
        <v>37</v>
      </c>
    </row>
    <row r="25" spans="1:8">
      <c r="A25" s="11" t="s">
        <v>38</v>
      </c>
      <c r="B25" s="15" t="s">
        <v>39</v>
      </c>
      <c r="C25" s="15" t="s">
        <v>40</v>
      </c>
      <c r="D25" s="15" t="s">
        <v>41</v>
      </c>
    </row>
    <row r="26" spans="1:8">
      <c r="A26" s="11" t="s">
        <v>42</v>
      </c>
      <c r="B26" s="15" t="s">
        <v>43</v>
      </c>
      <c r="C26" s="15" t="s">
        <v>44</v>
      </c>
      <c r="D26" s="15" t="s">
        <v>45</v>
      </c>
    </row>
  </sheetData>
  <mergeCells count="3">
    <mergeCell ref="A1:H1"/>
    <mergeCell ref="A13:H13"/>
    <mergeCell ref="A20:H20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71"/>
  <sheetViews>
    <sheetView workbookViewId="0">
      <selection activeCell="A2" sqref="A2"/>
    </sheetView>
  </sheetViews>
  <sheetFormatPr defaultRowHeight="13.8"/>
  <cols>
    <col min="1" max="1" width="12" customWidth="1"/>
    <col min="2" max="2" width="6.59765625" customWidth="1"/>
    <col min="3" max="3" width="18" customWidth="1"/>
    <col min="4" max="4" width="9" customWidth="1"/>
    <col min="5" max="6" width="7.8984375" customWidth="1"/>
    <col min="7" max="7" width="9" customWidth="1"/>
    <col min="8" max="8" width="10" customWidth="1"/>
    <col min="9" max="9" width="7.8984375" customWidth="1"/>
    <col min="10" max="10" width="16" customWidth="1"/>
    <col min="11" max="11" width="5.8984375" customWidth="1"/>
    <col min="12" max="12" width="9" customWidth="1"/>
    <col min="13" max="13" width="14.8984375" customWidth="1"/>
    <col min="14" max="19" width="10.19921875" customWidth="1"/>
    <col min="20" max="20" width="8.19921875" customWidth="1"/>
    <col min="21" max="22" width="10.19921875" customWidth="1"/>
    <col min="23" max="23" width="12.09765625" customWidth="1"/>
    <col min="24" max="24" width="10" customWidth="1"/>
    <col min="25" max="26" width="7.8984375" customWidth="1"/>
    <col min="27" max="27" width="9.59765625" customWidth="1"/>
    <col min="28" max="28" width="14.09765625" customWidth="1"/>
    <col min="29" max="29" width="9" customWidth="1"/>
    <col min="30" max="30" width="10.09765625" customWidth="1"/>
    <col min="31" max="31" width="14.09765625" customWidth="1"/>
    <col min="32" max="32" width="10.19921875" customWidth="1"/>
    <col min="33" max="34" width="12.09765625" customWidth="1"/>
    <col min="35" max="35" width="6.59765625" customWidth="1"/>
    <col min="36" max="36" width="24" customWidth="1"/>
  </cols>
  <sheetData>
    <row r="1" spans="1:35" ht="36" customHeight="1">
      <c r="A1" s="2" t="s">
        <v>46</v>
      </c>
      <c r="B1" s="1" t="s">
        <v>47</v>
      </c>
      <c r="C1" s="1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68</v>
      </c>
      <c r="X1" s="7" t="s">
        <v>69</v>
      </c>
      <c r="Y1" s="7" t="s">
        <v>70</v>
      </c>
      <c r="Z1" s="7" t="s">
        <v>71</v>
      </c>
      <c r="AA1" s="5" t="s">
        <v>72</v>
      </c>
      <c r="AB1" s="5" t="s">
        <v>73</v>
      </c>
      <c r="AC1" s="5" t="s">
        <v>74</v>
      </c>
      <c r="AD1" s="5" t="s">
        <v>75</v>
      </c>
      <c r="AE1" s="6" t="s">
        <v>76</v>
      </c>
      <c r="AF1" s="6" t="s">
        <v>77</v>
      </c>
      <c r="AG1" s="6" t="s">
        <v>78</v>
      </c>
      <c r="AH1" s="6" t="s">
        <v>79</v>
      </c>
      <c r="AI1" s="5" t="s">
        <v>10</v>
      </c>
    </row>
    <row r="2" spans="1:35">
      <c r="A2">
        <v>46178</v>
      </c>
      <c r="B2" t="s">
        <v>80</v>
      </c>
      <c r="C2" t="s">
        <v>81</v>
      </c>
      <c r="D2">
        <v>2</v>
      </c>
      <c r="E2">
        <v>400</v>
      </c>
      <c r="F2">
        <v>30</v>
      </c>
      <c r="G2">
        <v>1</v>
      </c>
      <c r="H2">
        <v>150</v>
      </c>
      <c r="I2">
        <v>250</v>
      </c>
      <c r="J2" t="s">
        <v>82</v>
      </c>
      <c r="K2">
        <v>250</v>
      </c>
      <c r="L2">
        <v>3</v>
      </c>
      <c r="M2">
        <v>1000</v>
      </c>
      <c r="N2">
        <f>D2*Food_DB!$C$2</f>
        <v>150</v>
      </c>
      <c r="O2">
        <f>E2/100*Food_DB!$C$3</f>
        <v>260</v>
      </c>
      <c r="P2">
        <f>F2/30*Food_DB!$C$4</f>
        <v>111</v>
      </c>
      <c r="Q2">
        <f>G2*Food_DB!$C$5</f>
        <v>222</v>
      </c>
      <c r="R2">
        <f>H2/100*Food_DB!$C$6</f>
        <v>12</v>
      </c>
      <c r="S2">
        <f>I2/100*Food_DB!$C$7</f>
        <v>62.5</v>
      </c>
      <c r="T2">
        <f>IFERROR(K2/100*VLOOKUP(J2,Food_DB!$A$2:$F$14,3,FALSE),0)</f>
        <v>550</v>
      </c>
      <c r="U2">
        <f>L2*Food_DB!$C$8</f>
        <v>270</v>
      </c>
      <c r="V2">
        <f t="shared" ref="V2:V65" si="0">M2</f>
        <v>1000</v>
      </c>
      <c r="W2">
        <f t="shared" ref="W2:W65" si="1">SUM(N2:V2)</f>
        <v>2637.5</v>
      </c>
      <c r="X2">
        <f>D2*Food_DB!$D$2+E2/100*Food_DB!$D$3+F2/30*Food_DB!$D$4+G2*Food_DB!$D$5+H2/100*Food_DB!$D$6+I2/100*Food_DB!$D$7+IFERROR(K2/100*VLOOKUP(J2,Food_DB!$A$2:$F$14,4,FALSE),0)+L2*Food_DB!$D$8</f>
        <v>92.999999999999986</v>
      </c>
      <c r="Y2">
        <f>D2*Food_DB!$E$2+E2/100*Food_DB!$E$3+F2/30*Food_DB!$E$4+G2*Food_DB!$E$5+H2/100*Food_DB!$E$6+I2/100*Food_DB!$E$7+IFERROR(K2/100*VLOOKUP(J2,Food_DB!$A$2:$F$14,5,FALSE),0)+L2*Food_DB!$E$8</f>
        <v>63.6</v>
      </c>
      <c r="Z2">
        <f>D2*Food_DB!$F$2+E2/100*Food_DB!$F$3+F2/30*Food_DB!$F$4+G2*Food_DB!$F$5+H2/100*Food_DB!$F$6+I2/100*Food_DB!$F$7+IFERROR(K2/100*VLOOKUP(J2,Food_DB!$A$2:$F$14,6,FALSE),0)+L2*Food_DB!$F$8</f>
        <v>178.15</v>
      </c>
      <c r="AA2">
        <v>6.5</v>
      </c>
      <c r="AB2">
        <v>30</v>
      </c>
      <c r="AC2">
        <v>0</v>
      </c>
      <c r="AD2">
        <v>0</v>
      </c>
      <c r="AE2">
        <f>Dashboard!$B$6*AA2+Dashboard!$B$6*4*AB2/60+Dashboard!$B$6*8*AC2/120+Dashboard!$B$6*7*AD2</f>
        <v>680</v>
      </c>
      <c r="AF2">
        <f>Dashboard!$B$5</f>
        <v>1700</v>
      </c>
      <c r="AG2">
        <f t="shared" ref="AG2:AG65" si="2">AF2*1.2+AE2</f>
        <v>2720</v>
      </c>
      <c r="AH2">
        <f t="shared" ref="AH2:AH65" si="3">W2-AG2</f>
        <v>-82.5</v>
      </c>
    </row>
    <row r="3" spans="1:35">
      <c r="A3">
        <v>46179</v>
      </c>
      <c r="B3" t="s">
        <v>83</v>
      </c>
      <c r="C3" t="s">
        <v>84</v>
      </c>
      <c r="D3">
        <v>2</v>
      </c>
      <c r="E3">
        <v>400</v>
      </c>
      <c r="F3">
        <v>30</v>
      </c>
      <c r="G3">
        <v>1</v>
      </c>
      <c r="H3">
        <v>150</v>
      </c>
      <c r="I3">
        <v>250</v>
      </c>
      <c r="J3" t="s">
        <v>85</v>
      </c>
      <c r="K3">
        <v>250</v>
      </c>
      <c r="L3">
        <v>3</v>
      </c>
      <c r="M3">
        <v>0</v>
      </c>
      <c r="N3">
        <f>D3*Food_DB!$C$2</f>
        <v>150</v>
      </c>
      <c r="O3">
        <f>E3/100*Food_DB!$C$3</f>
        <v>260</v>
      </c>
      <c r="P3">
        <f>F3/30*Food_DB!$C$4</f>
        <v>111</v>
      </c>
      <c r="Q3">
        <f>G3*Food_DB!$C$5</f>
        <v>222</v>
      </c>
      <c r="R3">
        <f>H3/100*Food_DB!$C$6</f>
        <v>12</v>
      </c>
      <c r="S3">
        <f>I3/100*Food_DB!$C$7</f>
        <v>62.5</v>
      </c>
      <c r="T3">
        <f>IFERROR(K3/100*VLOOKUP(J3,Food_DB!$A$2:$F$14,3,FALSE),0)</f>
        <v>450</v>
      </c>
      <c r="U3">
        <f>L3*Food_DB!$C$8</f>
        <v>270</v>
      </c>
      <c r="V3">
        <f t="shared" si="0"/>
        <v>0</v>
      </c>
      <c r="W3">
        <f t="shared" si="1"/>
        <v>1537.5</v>
      </c>
      <c r="X3">
        <f>D3*Food_DB!$D$2+E3/100*Food_DB!$D$3+F3/30*Food_DB!$D$4+G3*Food_DB!$D$5+H3/100*Food_DB!$D$6+I3/100*Food_DB!$D$7+IFERROR(K3/100*VLOOKUP(J3,Food_DB!$A$2:$F$14,4,FALSE),0)+L3*Food_DB!$D$8</f>
        <v>92.999999999999986</v>
      </c>
      <c r="Y3">
        <f>D3*Food_DB!$E$2+E3/100*Food_DB!$E$3+F3/30*Food_DB!$E$4+G3*Food_DB!$E$5+H3/100*Food_DB!$E$6+I3/100*Food_DB!$E$7+IFERROR(K3/100*VLOOKUP(J3,Food_DB!$A$2:$F$14,5,FALSE),0)+L3*Food_DB!$E$8</f>
        <v>51.1</v>
      </c>
      <c r="Z3">
        <f>D3*Food_DB!$F$2+E3/100*Food_DB!$F$3+F3/30*Food_DB!$F$4+G3*Food_DB!$F$5+H3/100*Food_DB!$F$6+I3/100*Food_DB!$F$7+IFERROR(K3/100*VLOOKUP(J3,Food_DB!$A$2:$F$14,6,FALSE),0)+L3*Food_DB!$F$8</f>
        <v>178.15</v>
      </c>
      <c r="AA3">
        <v>0</v>
      </c>
      <c r="AB3">
        <v>0</v>
      </c>
      <c r="AC3">
        <v>0</v>
      </c>
      <c r="AD3">
        <v>3.5</v>
      </c>
      <c r="AE3">
        <f>Dashboard!$B$6*AA3+Dashboard!$B$6*4*AB3/60+Dashboard!$B$6*8*AC3/120+Dashboard!$B$6*7*AD3</f>
        <v>1960</v>
      </c>
      <c r="AF3">
        <f>Dashboard!$B$5</f>
        <v>1700</v>
      </c>
      <c r="AG3">
        <f t="shared" si="2"/>
        <v>4000</v>
      </c>
      <c r="AH3">
        <f t="shared" si="3"/>
        <v>-2462.5</v>
      </c>
    </row>
    <row r="4" spans="1:35">
      <c r="A4">
        <v>46180</v>
      </c>
      <c r="B4" t="s">
        <v>86</v>
      </c>
      <c r="C4" t="s">
        <v>84</v>
      </c>
      <c r="D4">
        <v>2</v>
      </c>
      <c r="E4">
        <v>400</v>
      </c>
      <c r="F4">
        <v>30</v>
      </c>
      <c r="G4">
        <v>1</v>
      </c>
      <c r="H4">
        <v>150</v>
      </c>
      <c r="I4">
        <v>250</v>
      </c>
      <c r="J4" t="s">
        <v>87</v>
      </c>
      <c r="K4">
        <v>250</v>
      </c>
      <c r="L4">
        <v>3</v>
      </c>
      <c r="M4">
        <v>0</v>
      </c>
      <c r="N4">
        <f>D4*Food_DB!$C$2</f>
        <v>150</v>
      </c>
      <c r="O4">
        <f>E4/100*Food_DB!$C$3</f>
        <v>260</v>
      </c>
      <c r="P4">
        <f>F4/30*Food_DB!$C$4</f>
        <v>111</v>
      </c>
      <c r="Q4">
        <f>G4*Food_DB!$C$5</f>
        <v>222</v>
      </c>
      <c r="R4">
        <f>H4/100*Food_DB!$C$6</f>
        <v>12</v>
      </c>
      <c r="S4">
        <f>I4/100*Food_DB!$C$7</f>
        <v>62.5</v>
      </c>
      <c r="T4">
        <f>IFERROR(K4/100*VLOOKUP(J4,Food_DB!$A$2:$F$14,3,FALSE),0)</f>
        <v>300</v>
      </c>
      <c r="U4">
        <f>L4*Food_DB!$C$8</f>
        <v>270</v>
      </c>
      <c r="V4">
        <f t="shared" si="0"/>
        <v>0</v>
      </c>
      <c r="W4">
        <f t="shared" si="1"/>
        <v>1387.5</v>
      </c>
      <c r="X4">
        <f>D4*Food_DB!$D$2+E4/100*Food_DB!$D$3+F4/30*Food_DB!$D$4+G4*Food_DB!$D$5+H4/100*Food_DB!$D$6+I4/100*Food_DB!$D$7+IFERROR(K4/100*VLOOKUP(J4,Food_DB!$A$2:$F$14,4,FALSE),0)+L4*Food_DB!$D$8</f>
        <v>100.49999999999999</v>
      </c>
      <c r="Y4">
        <f>D4*Food_DB!$E$2+E4/100*Food_DB!$E$3+F4/30*Food_DB!$E$4+G4*Food_DB!$E$5+H4/100*Food_DB!$E$6+I4/100*Food_DB!$E$7+IFERROR(K4/100*VLOOKUP(J4,Food_DB!$A$2:$F$14,5,FALSE),0)+L4*Food_DB!$E$8</f>
        <v>32.35</v>
      </c>
      <c r="Z4">
        <f>D4*Food_DB!$F$2+E4/100*Food_DB!$F$3+F4/30*Food_DB!$F$4+G4*Food_DB!$F$5+H4/100*Food_DB!$F$6+I4/100*Food_DB!$F$7+IFERROR(K4/100*VLOOKUP(J4,Food_DB!$A$2:$F$14,6,FALSE),0)+L4*Food_DB!$F$8</f>
        <v>178.15</v>
      </c>
      <c r="AA4">
        <v>0</v>
      </c>
      <c r="AB4">
        <v>0</v>
      </c>
      <c r="AC4">
        <v>0</v>
      </c>
      <c r="AD4">
        <v>3.5</v>
      </c>
      <c r="AE4">
        <f>Dashboard!$B$6*AA4+Dashboard!$B$6*4*AB4/60+Dashboard!$B$6*8*AC4/120+Dashboard!$B$6*7*AD4</f>
        <v>1960</v>
      </c>
      <c r="AF4">
        <f>Dashboard!$B$5</f>
        <v>1700</v>
      </c>
      <c r="AG4">
        <f t="shared" si="2"/>
        <v>4000</v>
      </c>
      <c r="AH4">
        <f t="shared" si="3"/>
        <v>-2612.5</v>
      </c>
    </row>
    <row r="5" spans="1:35">
      <c r="A5">
        <v>46181</v>
      </c>
      <c r="B5" t="s">
        <v>88</v>
      </c>
      <c r="C5" t="s">
        <v>89</v>
      </c>
      <c r="D5">
        <v>2</v>
      </c>
      <c r="E5">
        <v>400</v>
      </c>
      <c r="F5">
        <v>30</v>
      </c>
      <c r="G5">
        <v>1</v>
      </c>
      <c r="H5">
        <v>150</v>
      </c>
      <c r="I5">
        <v>250</v>
      </c>
      <c r="J5" t="s">
        <v>90</v>
      </c>
      <c r="K5">
        <v>250</v>
      </c>
      <c r="L5">
        <v>3</v>
      </c>
      <c r="M5">
        <v>0</v>
      </c>
      <c r="N5">
        <f>D5*Food_DB!$C$2</f>
        <v>150</v>
      </c>
      <c r="O5">
        <f>E5/100*Food_DB!$C$3</f>
        <v>260</v>
      </c>
      <c r="P5">
        <f>F5/30*Food_DB!$C$4</f>
        <v>111</v>
      </c>
      <c r="Q5">
        <f>G5*Food_DB!$C$5</f>
        <v>222</v>
      </c>
      <c r="R5">
        <f>H5/100*Food_DB!$C$6</f>
        <v>12</v>
      </c>
      <c r="S5">
        <f>I5/100*Food_DB!$C$7</f>
        <v>62.5</v>
      </c>
      <c r="T5">
        <f>IFERROR(K5/100*VLOOKUP(J5,Food_DB!$A$2:$F$14,3,FALSE),0)</f>
        <v>575</v>
      </c>
      <c r="U5">
        <f>L5*Food_DB!$C$8</f>
        <v>270</v>
      </c>
      <c r="V5">
        <f t="shared" si="0"/>
        <v>0</v>
      </c>
      <c r="W5">
        <f t="shared" si="1"/>
        <v>1662.5</v>
      </c>
      <c r="X5">
        <f>D5*Food_DB!$D$2+E5/100*Food_DB!$D$3+F5/30*Food_DB!$D$4+G5*Food_DB!$D$5+H5/100*Food_DB!$D$6+I5/100*Food_DB!$D$7+IFERROR(K5/100*VLOOKUP(J5,Food_DB!$A$2:$F$14,4,FALSE),0)+L5*Food_DB!$D$8</f>
        <v>87.999999999999986</v>
      </c>
      <c r="Y5">
        <f>D5*Food_DB!$E$2+E5/100*Food_DB!$E$3+F5/30*Food_DB!$E$4+G5*Food_DB!$E$5+H5/100*Food_DB!$E$6+I5/100*Food_DB!$E$7+IFERROR(K5/100*VLOOKUP(J5,Food_DB!$A$2:$F$14,5,FALSE),0)+L5*Food_DB!$E$8</f>
        <v>68.599999999999994</v>
      </c>
      <c r="Z5">
        <f>D5*Food_DB!$F$2+E5/100*Food_DB!$F$3+F5/30*Food_DB!$F$4+G5*Food_DB!$F$5+H5/100*Food_DB!$F$6+I5/100*Food_DB!$F$7+IFERROR(K5/100*VLOOKUP(J5,Food_DB!$A$2:$F$14,6,FALSE),0)+L5*Food_DB!$F$8</f>
        <v>178.15</v>
      </c>
      <c r="AA5">
        <v>6.5</v>
      </c>
      <c r="AB5">
        <v>30</v>
      </c>
      <c r="AC5">
        <v>0</v>
      </c>
      <c r="AD5">
        <v>0</v>
      </c>
      <c r="AE5">
        <f>Dashboard!$B$6*AA5+Dashboard!$B$6*4*AB5/60+Dashboard!$B$6*8*AC5/120+Dashboard!$B$6*7*AD5</f>
        <v>680</v>
      </c>
      <c r="AF5">
        <f>Dashboard!$B$5</f>
        <v>1700</v>
      </c>
      <c r="AG5">
        <f t="shared" si="2"/>
        <v>2720</v>
      </c>
      <c r="AH5">
        <f t="shared" si="3"/>
        <v>-1057.5</v>
      </c>
    </row>
    <row r="6" spans="1:35">
      <c r="A6">
        <v>46182</v>
      </c>
      <c r="B6" t="s">
        <v>91</v>
      </c>
      <c r="C6" t="s">
        <v>89</v>
      </c>
      <c r="D6">
        <v>2</v>
      </c>
      <c r="E6">
        <v>400</v>
      </c>
      <c r="F6">
        <v>30</v>
      </c>
      <c r="G6">
        <v>1</v>
      </c>
      <c r="H6">
        <v>150</v>
      </c>
      <c r="I6">
        <v>250</v>
      </c>
      <c r="J6" t="s">
        <v>82</v>
      </c>
      <c r="K6">
        <v>250</v>
      </c>
      <c r="L6">
        <v>3</v>
      </c>
      <c r="M6">
        <v>0</v>
      </c>
      <c r="N6">
        <f>D6*Food_DB!$C$2</f>
        <v>150</v>
      </c>
      <c r="O6">
        <f>E6/100*Food_DB!$C$3</f>
        <v>260</v>
      </c>
      <c r="P6">
        <f>F6/30*Food_DB!$C$4</f>
        <v>111</v>
      </c>
      <c r="Q6">
        <f>G6*Food_DB!$C$5</f>
        <v>222</v>
      </c>
      <c r="R6">
        <f>H6/100*Food_DB!$C$6</f>
        <v>12</v>
      </c>
      <c r="S6">
        <f>I6/100*Food_DB!$C$7</f>
        <v>62.5</v>
      </c>
      <c r="T6">
        <f>IFERROR(K6/100*VLOOKUP(J6,Food_DB!$A$2:$F$14,3,FALSE),0)</f>
        <v>550</v>
      </c>
      <c r="U6">
        <f>L6*Food_DB!$C$8</f>
        <v>270</v>
      </c>
      <c r="V6">
        <f t="shared" si="0"/>
        <v>0</v>
      </c>
      <c r="W6">
        <f t="shared" si="1"/>
        <v>1637.5</v>
      </c>
      <c r="X6">
        <f>D6*Food_DB!$D$2+E6/100*Food_DB!$D$3+F6/30*Food_DB!$D$4+G6*Food_DB!$D$5+H6/100*Food_DB!$D$6+I6/100*Food_DB!$D$7+IFERROR(K6/100*VLOOKUP(J6,Food_DB!$A$2:$F$14,4,FALSE),0)+L6*Food_DB!$D$8</f>
        <v>92.999999999999986</v>
      </c>
      <c r="Y6">
        <f>D6*Food_DB!$E$2+E6/100*Food_DB!$E$3+F6/30*Food_DB!$E$4+G6*Food_DB!$E$5+H6/100*Food_DB!$E$6+I6/100*Food_DB!$E$7+IFERROR(K6/100*VLOOKUP(J6,Food_DB!$A$2:$F$14,5,FALSE),0)+L6*Food_DB!$E$8</f>
        <v>63.6</v>
      </c>
      <c r="Z6">
        <f>D6*Food_DB!$F$2+E6/100*Food_DB!$F$3+F6/30*Food_DB!$F$4+G6*Food_DB!$F$5+H6/100*Food_DB!$F$6+I6/100*Food_DB!$F$7+IFERROR(K6/100*VLOOKUP(J6,Food_DB!$A$2:$F$14,6,FALSE),0)+L6*Food_DB!$F$8</f>
        <v>178.15</v>
      </c>
      <c r="AA6">
        <v>6.5</v>
      </c>
      <c r="AB6">
        <v>30</v>
      </c>
      <c r="AC6">
        <v>0</v>
      </c>
      <c r="AD6">
        <v>0</v>
      </c>
      <c r="AE6">
        <f>Dashboard!$B$6*AA6+Dashboard!$B$6*4*AB6/60+Dashboard!$B$6*8*AC6/120+Dashboard!$B$6*7*AD6</f>
        <v>680</v>
      </c>
      <c r="AF6">
        <f>Dashboard!$B$5</f>
        <v>1700</v>
      </c>
      <c r="AG6">
        <f t="shared" si="2"/>
        <v>2720</v>
      </c>
      <c r="AH6">
        <f t="shared" si="3"/>
        <v>-1082.5</v>
      </c>
    </row>
    <row r="7" spans="1:35">
      <c r="A7">
        <v>46183</v>
      </c>
      <c r="B7" t="s">
        <v>92</v>
      </c>
      <c r="C7" t="s">
        <v>89</v>
      </c>
      <c r="D7">
        <v>2</v>
      </c>
      <c r="E7">
        <v>400</v>
      </c>
      <c r="F7">
        <v>30</v>
      </c>
      <c r="G7">
        <v>1</v>
      </c>
      <c r="H7">
        <v>150</v>
      </c>
      <c r="I7">
        <v>250</v>
      </c>
      <c r="J7" t="s">
        <v>85</v>
      </c>
      <c r="K7">
        <v>250</v>
      </c>
      <c r="L7">
        <v>3</v>
      </c>
      <c r="M7">
        <v>0</v>
      </c>
      <c r="N7">
        <f>D7*Food_DB!$C$2</f>
        <v>150</v>
      </c>
      <c r="O7">
        <f>E7/100*Food_DB!$C$3</f>
        <v>260</v>
      </c>
      <c r="P7">
        <f>F7/30*Food_DB!$C$4</f>
        <v>111</v>
      </c>
      <c r="Q7">
        <f>G7*Food_DB!$C$5</f>
        <v>222</v>
      </c>
      <c r="R7">
        <f>H7/100*Food_DB!$C$6</f>
        <v>12</v>
      </c>
      <c r="S7">
        <f>I7/100*Food_DB!$C$7</f>
        <v>62.5</v>
      </c>
      <c r="T7">
        <f>IFERROR(K7/100*VLOOKUP(J7,Food_DB!$A$2:$F$14,3,FALSE),0)</f>
        <v>450</v>
      </c>
      <c r="U7">
        <f>L7*Food_DB!$C$8</f>
        <v>270</v>
      </c>
      <c r="V7">
        <f t="shared" si="0"/>
        <v>0</v>
      </c>
      <c r="W7">
        <f t="shared" si="1"/>
        <v>1537.5</v>
      </c>
      <c r="X7">
        <f>D7*Food_DB!$D$2+E7/100*Food_DB!$D$3+F7/30*Food_DB!$D$4+G7*Food_DB!$D$5+H7/100*Food_DB!$D$6+I7/100*Food_DB!$D$7+IFERROR(K7/100*VLOOKUP(J7,Food_DB!$A$2:$F$14,4,FALSE),0)+L7*Food_DB!$D$8</f>
        <v>92.999999999999986</v>
      </c>
      <c r="Y7">
        <f>D7*Food_DB!$E$2+E7/100*Food_DB!$E$3+F7/30*Food_DB!$E$4+G7*Food_DB!$E$5+H7/100*Food_DB!$E$6+I7/100*Food_DB!$E$7+IFERROR(K7/100*VLOOKUP(J7,Food_DB!$A$2:$F$14,5,FALSE),0)+L7*Food_DB!$E$8</f>
        <v>51.1</v>
      </c>
      <c r="Z7">
        <f>D7*Food_DB!$F$2+E7/100*Food_DB!$F$3+F7/30*Food_DB!$F$4+G7*Food_DB!$F$5+H7/100*Food_DB!$F$6+I7/100*Food_DB!$F$7+IFERROR(K7/100*VLOOKUP(J7,Food_DB!$A$2:$F$14,6,FALSE),0)+L7*Food_DB!$F$8</f>
        <v>178.15</v>
      </c>
      <c r="AA7">
        <v>6.5</v>
      </c>
      <c r="AB7">
        <v>30</v>
      </c>
      <c r="AC7">
        <v>0</v>
      </c>
      <c r="AD7">
        <v>0</v>
      </c>
      <c r="AE7">
        <f>Dashboard!$B$6*AA7+Dashboard!$B$6*4*AB7/60+Dashboard!$B$6*8*AC7/120+Dashboard!$B$6*7*AD7</f>
        <v>680</v>
      </c>
      <c r="AF7">
        <f>Dashboard!$B$5</f>
        <v>1700</v>
      </c>
      <c r="AG7">
        <f t="shared" si="2"/>
        <v>2720</v>
      </c>
      <c r="AH7">
        <f t="shared" si="3"/>
        <v>-1182.5</v>
      </c>
    </row>
    <row r="8" spans="1:35">
      <c r="A8">
        <v>46184</v>
      </c>
      <c r="B8" t="s">
        <v>93</v>
      </c>
      <c r="C8" t="s">
        <v>89</v>
      </c>
      <c r="D8">
        <v>2</v>
      </c>
      <c r="E8">
        <v>400</v>
      </c>
      <c r="F8">
        <v>30</v>
      </c>
      <c r="G8">
        <v>1</v>
      </c>
      <c r="H8">
        <v>150</v>
      </c>
      <c r="I8">
        <v>250</v>
      </c>
      <c r="J8" t="s">
        <v>87</v>
      </c>
      <c r="K8">
        <v>250</v>
      </c>
      <c r="L8">
        <v>3</v>
      </c>
      <c r="M8">
        <v>0</v>
      </c>
      <c r="N8">
        <f>D8*Food_DB!$C$2</f>
        <v>150</v>
      </c>
      <c r="O8">
        <f>E8/100*Food_DB!$C$3</f>
        <v>260</v>
      </c>
      <c r="P8">
        <f>F8/30*Food_DB!$C$4</f>
        <v>111</v>
      </c>
      <c r="Q8">
        <f>G8*Food_DB!$C$5</f>
        <v>222</v>
      </c>
      <c r="R8">
        <f>H8/100*Food_DB!$C$6</f>
        <v>12</v>
      </c>
      <c r="S8">
        <f>I8/100*Food_DB!$C$7</f>
        <v>62.5</v>
      </c>
      <c r="T8">
        <f>IFERROR(K8/100*VLOOKUP(J8,Food_DB!$A$2:$F$14,3,FALSE),0)</f>
        <v>300</v>
      </c>
      <c r="U8">
        <f>L8*Food_DB!$C$8</f>
        <v>270</v>
      </c>
      <c r="V8">
        <f t="shared" si="0"/>
        <v>0</v>
      </c>
      <c r="W8">
        <f t="shared" si="1"/>
        <v>1387.5</v>
      </c>
      <c r="X8">
        <f>D8*Food_DB!$D$2+E8/100*Food_DB!$D$3+F8/30*Food_DB!$D$4+G8*Food_DB!$D$5+H8/100*Food_DB!$D$6+I8/100*Food_DB!$D$7+IFERROR(K8/100*VLOOKUP(J8,Food_DB!$A$2:$F$14,4,FALSE),0)+L8*Food_DB!$D$8</f>
        <v>100.49999999999999</v>
      </c>
      <c r="Y8">
        <f>D8*Food_DB!$E$2+E8/100*Food_DB!$E$3+F8/30*Food_DB!$E$4+G8*Food_DB!$E$5+H8/100*Food_DB!$E$6+I8/100*Food_DB!$E$7+IFERROR(K8/100*VLOOKUP(J8,Food_DB!$A$2:$F$14,5,FALSE),0)+L8*Food_DB!$E$8</f>
        <v>32.35</v>
      </c>
      <c r="Z8">
        <f>D8*Food_DB!$F$2+E8/100*Food_DB!$F$3+F8/30*Food_DB!$F$4+G8*Food_DB!$F$5+H8/100*Food_DB!$F$6+I8/100*Food_DB!$F$7+IFERROR(K8/100*VLOOKUP(J8,Food_DB!$A$2:$F$14,6,FALSE),0)+L8*Food_DB!$F$8</f>
        <v>178.15</v>
      </c>
      <c r="AA8">
        <v>6.5</v>
      </c>
      <c r="AB8">
        <v>30</v>
      </c>
      <c r="AC8">
        <v>0</v>
      </c>
      <c r="AD8">
        <v>0</v>
      </c>
      <c r="AE8">
        <f>Dashboard!$B$6*AA8+Dashboard!$B$6*4*AB8/60+Dashboard!$B$6*8*AC8/120+Dashboard!$B$6*7*AD8</f>
        <v>680</v>
      </c>
      <c r="AF8">
        <f>Dashboard!$B$5</f>
        <v>1700</v>
      </c>
      <c r="AG8">
        <f t="shared" si="2"/>
        <v>2720</v>
      </c>
      <c r="AH8">
        <f t="shared" si="3"/>
        <v>-1332.5</v>
      </c>
    </row>
    <row r="9" spans="1:35">
      <c r="A9">
        <v>46185</v>
      </c>
      <c r="B9" t="s">
        <v>80</v>
      </c>
      <c r="C9" t="s">
        <v>81</v>
      </c>
      <c r="D9">
        <v>2</v>
      </c>
      <c r="E9">
        <v>400</v>
      </c>
      <c r="F9">
        <v>30</v>
      </c>
      <c r="G9">
        <v>1</v>
      </c>
      <c r="H9">
        <v>150</v>
      </c>
      <c r="I9">
        <v>250</v>
      </c>
      <c r="J9" t="s">
        <v>90</v>
      </c>
      <c r="K9">
        <v>250</v>
      </c>
      <c r="L9">
        <v>3</v>
      </c>
      <c r="M9">
        <v>1000</v>
      </c>
      <c r="N9">
        <f>D9*Food_DB!$C$2</f>
        <v>150</v>
      </c>
      <c r="O9">
        <f>E9/100*Food_DB!$C$3</f>
        <v>260</v>
      </c>
      <c r="P9">
        <f>F9/30*Food_DB!$C$4</f>
        <v>111</v>
      </c>
      <c r="Q9">
        <f>G9*Food_DB!$C$5</f>
        <v>222</v>
      </c>
      <c r="R9">
        <f>H9/100*Food_DB!$C$6</f>
        <v>12</v>
      </c>
      <c r="S9">
        <f>I9/100*Food_DB!$C$7</f>
        <v>62.5</v>
      </c>
      <c r="T9">
        <f>IFERROR(K9/100*VLOOKUP(J9,Food_DB!$A$2:$F$14,3,FALSE),0)</f>
        <v>575</v>
      </c>
      <c r="U9">
        <f>L9*Food_DB!$C$8</f>
        <v>270</v>
      </c>
      <c r="V9">
        <f t="shared" si="0"/>
        <v>1000</v>
      </c>
      <c r="W9">
        <f t="shared" si="1"/>
        <v>2662.5</v>
      </c>
      <c r="X9">
        <f>D9*Food_DB!$D$2+E9/100*Food_DB!$D$3+F9/30*Food_DB!$D$4+G9*Food_DB!$D$5+H9/100*Food_DB!$D$6+I9/100*Food_DB!$D$7+IFERROR(K9/100*VLOOKUP(J9,Food_DB!$A$2:$F$14,4,FALSE),0)+L9*Food_DB!$D$8</f>
        <v>87.999999999999986</v>
      </c>
      <c r="Y9">
        <f>D9*Food_DB!$E$2+E9/100*Food_DB!$E$3+F9/30*Food_DB!$E$4+G9*Food_DB!$E$5+H9/100*Food_DB!$E$6+I9/100*Food_DB!$E$7+IFERROR(K9/100*VLOOKUP(J9,Food_DB!$A$2:$F$14,5,FALSE),0)+L9*Food_DB!$E$8</f>
        <v>68.599999999999994</v>
      </c>
      <c r="Z9">
        <f>D9*Food_DB!$F$2+E9/100*Food_DB!$F$3+F9/30*Food_DB!$F$4+G9*Food_DB!$F$5+H9/100*Food_DB!$F$6+I9/100*Food_DB!$F$7+IFERROR(K9/100*VLOOKUP(J9,Food_DB!$A$2:$F$14,6,FALSE),0)+L9*Food_DB!$F$8</f>
        <v>178.15</v>
      </c>
      <c r="AA9">
        <v>6.5</v>
      </c>
      <c r="AB9">
        <v>30</v>
      </c>
      <c r="AC9">
        <v>0</v>
      </c>
      <c r="AD9">
        <v>0</v>
      </c>
      <c r="AE9">
        <f>Dashboard!$B$6*AA9+Dashboard!$B$6*4*AB9/60+Dashboard!$B$6*8*AC9/120+Dashboard!$B$6*7*AD9</f>
        <v>680</v>
      </c>
      <c r="AF9">
        <f>Dashboard!$B$5</f>
        <v>1700</v>
      </c>
      <c r="AG9">
        <f t="shared" si="2"/>
        <v>2720</v>
      </c>
      <c r="AH9">
        <f t="shared" si="3"/>
        <v>-57.5</v>
      </c>
    </row>
    <row r="10" spans="1:35">
      <c r="A10">
        <v>46186</v>
      </c>
      <c r="B10" t="s">
        <v>83</v>
      </c>
      <c r="C10" t="s">
        <v>84</v>
      </c>
      <c r="D10">
        <v>2</v>
      </c>
      <c r="E10">
        <v>400</v>
      </c>
      <c r="F10">
        <v>30</v>
      </c>
      <c r="G10">
        <v>1</v>
      </c>
      <c r="H10">
        <v>150</v>
      </c>
      <c r="I10">
        <v>250</v>
      </c>
      <c r="J10" t="s">
        <v>82</v>
      </c>
      <c r="K10">
        <v>250</v>
      </c>
      <c r="L10">
        <v>3</v>
      </c>
      <c r="M10">
        <v>0</v>
      </c>
      <c r="N10">
        <f>D10*Food_DB!$C$2</f>
        <v>150</v>
      </c>
      <c r="O10">
        <f>E10/100*Food_DB!$C$3</f>
        <v>260</v>
      </c>
      <c r="P10">
        <f>F10/30*Food_DB!$C$4</f>
        <v>111</v>
      </c>
      <c r="Q10">
        <f>G10*Food_DB!$C$5</f>
        <v>222</v>
      </c>
      <c r="R10">
        <f>H10/100*Food_DB!$C$6</f>
        <v>12</v>
      </c>
      <c r="S10">
        <f>I10/100*Food_DB!$C$7</f>
        <v>62.5</v>
      </c>
      <c r="T10">
        <f>IFERROR(K10/100*VLOOKUP(J10,Food_DB!$A$2:$F$14,3,FALSE),0)</f>
        <v>550</v>
      </c>
      <c r="U10">
        <f>L10*Food_DB!$C$8</f>
        <v>270</v>
      </c>
      <c r="V10">
        <f t="shared" si="0"/>
        <v>0</v>
      </c>
      <c r="W10">
        <f t="shared" si="1"/>
        <v>1637.5</v>
      </c>
      <c r="X10">
        <f>D10*Food_DB!$D$2+E10/100*Food_DB!$D$3+F10/30*Food_DB!$D$4+G10*Food_DB!$D$5+H10/100*Food_DB!$D$6+I10/100*Food_DB!$D$7+IFERROR(K10/100*VLOOKUP(J10,Food_DB!$A$2:$F$14,4,FALSE),0)+L10*Food_DB!$D$8</f>
        <v>92.999999999999986</v>
      </c>
      <c r="Y10">
        <f>D10*Food_DB!$E$2+E10/100*Food_DB!$E$3+F10/30*Food_DB!$E$4+G10*Food_DB!$E$5+H10/100*Food_DB!$E$6+I10/100*Food_DB!$E$7+IFERROR(K10/100*VLOOKUP(J10,Food_DB!$A$2:$F$14,5,FALSE),0)+L10*Food_DB!$E$8</f>
        <v>63.6</v>
      </c>
      <c r="Z10">
        <f>D10*Food_DB!$F$2+E10/100*Food_DB!$F$3+F10/30*Food_DB!$F$4+G10*Food_DB!$F$5+H10/100*Food_DB!$F$6+I10/100*Food_DB!$F$7+IFERROR(K10/100*VLOOKUP(J10,Food_DB!$A$2:$F$14,6,FALSE),0)+L10*Food_DB!$F$8</f>
        <v>178.15</v>
      </c>
      <c r="AA10">
        <v>0</v>
      </c>
      <c r="AB10">
        <v>0</v>
      </c>
      <c r="AC10">
        <v>0</v>
      </c>
      <c r="AD10">
        <v>3.5</v>
      </c>
      <c r="AE10">
        <f>Dashboard!$B$6*AA10+Dashboard!$B$6*4*AB10/60+Dashboard!$B$6*8*AC10/120+Dashboard!$B$6*7*AD10</f>
        <v>1960</v>
      </c>
      <c r="AF10">
        <f>Dashboard!$B$5</f>
        <v>1700</v>
      </c>
      <c r="AG10">
        <f t="shared" si="2"/>
        <v>4000</v>
      </c>
      <c r="AH10">
        <f t="shared" si="3"/>
        <v>-2362.5</v>
      </c>
    </row>
    <row r="11" spans="1:35">
      <c r="A11">
        <v>46187</v>
      </c>
      <c r="B11" t="s">
        <v>86</v>
      </c>
      <c r="C11" t="s">
        <v>84</v>
      </c>
      <c r="D11">
        <v>2</v>
      </c>
      <c r="E11">
        <v>400</v>
      </c>
      <c r="F11">
        <v>30</v>
      </c>
      <c r="G11">
        <v>1</v>
      </c>
      <c r="H11">
        <v>150</v>
      </c>
      <c r="I11">
        <v>250</v>
      </c>
      <c r="J11" t="s">
        <v>85</v>
      </c>
      <c r="K11">
        <v>250</v>
      </c>
      <c r="L11">
        <v>3</v>
      </c>
      <c r="M11">
        <v>0</v>
      </c>
      <c r="N11">
        <f>D11*Food_DB!$C$2</f>
        <v>150</v>
      </c>
      <c r="O11">
        <f>E11/100*Food_DB!$C$3</f>
        <v>260</v>
      </c>
      <c r="P11">
        <f>F11/30*Food_DB!$C$4</f>
        <v>111</v>
      </c>
      <c r="Q11">
        <f>G11*Food_DB!$C$5</f>
        <v>222</v>
      </c>
      <c r="R11">
        <f>H11/100*Food_DB!$C$6</f>
        <v>12</v>
      </c>
      <c r="S11">
        <f>I11/100*Food_DB!$C$7</f>
        <v>62.5</v>
      </c>
      <c r="T11">
        <f>IFERROR(K11/100*VLOOKUP(J11,Food_DB!$A$2:$F$14,3,FALSE),0)</f>
        <v>450</v>
      </c>
      <c r="U11">
        <f>L11*Food_DB!$C$8</f>
        <v>270</v>
      </c>
      <c r="V11">
        <f t="shared" si="0"/>
        <v>0</v>
      </c>
      <c r="W11">
        <f t="shared" si="1"/>
        <v>1537.5</v>
      </c>
      <c r="X11">
        <f>D11*Food_DB!$D$2+E11/100*Food_DB!$D$3+F11/30*Food_DB!$D$4+G11*Food_DB!$D$5+H11/100*Food_DB!$D$6+I11/100*Food_DB!$D$7+IFERROR(K11/100*VLOOKUP(J11,Food_DB!$A$2:$F$14,4,FALSE),0)+L11*Food_DB!$D$8</f>
        <v>92.999999999999986</v>
      </c>
      <c r="Y11">
        <f>D11*Food_DB!$E$2+E11/100*Food_DB!$E$3+F11/30*Food_DB!$E$4+G11*Food_DB!$E$5+H11/100*Food_DB!$E$6+I11/100*Food_DB!$E$7+IFERROR(K11/100*VLOOKUP(J11,Food_DB!$A$2:$F$14,5,FALSE),0)+L11*Food_DB!$E$8</f>
        <v>51.1</v>
      </c>
      <c r="Z11">
        <f>D11*Food_DB!$F$2+E11/100*Food_DB!$F$3+F11/30*Food_DB!$F$4+G11*Food_DB!$F$5+H11/100*Food_DB!$F$6+I11/100*Food_DB!$F$7+IFERROR(K11/100*VLOOKUP(J11,Food_DB!$A$2:$F$14,6,FALSE),0)+L11*Food_DB!$F$8</f>
        <v>178.15</v>
      </c>
      <c r="AA11">
        <v>0</v>
      </c>
      <c r="AB11">
        <v>0</v>
      </c>
      <c r="AC11">
        <v>0</v>
      </c>
      <c r="AD11">
        <v>3.5</v>
      </c>
      <c r="AE11">
        <f>Dashboard!$B$6*AA11+Dashboard!$B$6*4*AB11/60+Dashboard!$B$6*8*AC11/120+Dashboard!$B$6*7*AD11</f>
        <v>1960</v>
      </c>
      <c r="AF11">
        <f>Dashboard!$B$5</f>
        <v>1700</v>
      </c>
      <c r="AG11">
        <f t="shared" si="2"/>
        <v>4000</v>
      </c>
      <c r="AH11">
        <f t="shared" si="3"/>
        <v>-2462.5</v>
      </c>
    </row>
    <row r="12" spans="1:35">
      <c r="A12">
        <v>46188</v>
      </c>
      <c r="B12" t="s">
        <v>88</v>
      </c>
      <c r="C12" t="s">
        <v>89</v>
      </c>
      <c r="D12">
        <v>2</v>
      </c>
      <c r="E12">
        <v>400</v>
      </c>
      <c r="F12">
        <v>30</v>
      </c>
      <c r="G12">
        <v>1</v>
      </c>
      <c r="H12">
        <v>150</v>
      </c>
      <c r="I12">
        <v>250</v>
      </c>
      <c r="J12" t="s">
        <v>87</v>
      </c>
      <c r="K12">
        <v>250</v>
      </c>
      <c r="L12">
        <v>3</v>
      </c>
      <c r="M12">
        <v>0</v>
      </c>
      <c r="N12">
        <f>D12*Food_DB!$C$2</f>
        <v>150</v>
      </c>
      <c r="O12">
        <f>E12/100*Food_DB!$C$3</f>
        <v>260</v>
      </c>
      <c r="P12">
        <f>F12/30*Food_DB!$C$4</f>
        <v>111</v>
      </c>
      <c r="Q12">
        <f>G12*Food_DB!$C$5</f>
        <v>222</v>
      </c>
      <c r="R12">
        <f>H12/100*Food_DB!$C$6</f>
        <v>12</v>
      </c>
      <c r="S12">
        <f>I12/100*Food_DB!$C$7</f>
        <v>62.5</v>
      </c>
      <c r="T12">
        <f>IFERROR(K12/100*VLOOKUP(J12,Food_DB!$A$2:$F$14,3,FALSE),0)</f>
        <v>300</v>
      </c>
      <c r="U12">
        <f>L12*Food_DB!$C$8</f>
        <v>270</v>
      </c>
      <c r="V12">
        <f t="shared" si="0"/>
        <v>0</v>
      </c>
      <c r="W12">
        <f t="shared" si="1"/>
        <v>1387.5</v>
      </c>
      <c r="X12">
        <f>D12*Food_DB!$D$2+E12/100*Food_DB!$D$3+F12/30*Food_DB!$D$4+G12*Food_DB!$D$5+H12/100*Food_DB!$D$6+I12/100*Food_DB!$D$7+IFERROR(K12/100*VLOOKUP(J12,Food_DB!$A$2:$F$14,4,FALSE),0)+L12*Food_DB!$D$8</f>
        <v>100.49999999999999</v>
      </c>
      <c r="Y12">
        <f>D12*Food_DB!$E$2+E12/100*Food_DB!$E$3+F12/30*Food_DB!$E$4+G12*Food_DB!$E$5+H12/100*Food_DB!$E$6+I12/100*Food_DB!$E$7+IFERROR(K12/100*VLOOKUP(J12,Food_DB!$A$2:$F$14,5,FALSE),0)+L12*Food_DB!$E$8</f>
        <v>32.35</v>
      </c>
      <c r="Z12">
        <f>D12*Food_DB!$F$2+E12/100*Food_DB!$F$3+F12/30*Food_DB!$F$4+G12*Food_DB!$F$5+H12/100*Food_DB!$F$6+I12/100*Food_DB!$F$7+IFERROR(K12/100*VLOOKUP(J12,Food_DB!$A$2:$F$14,6,FALSE),0)+L12*Food_DB!$F$8</f>
        <v>178.15</v>
      </c>
      <c r="AA12">
        <v>6.5</v>
      </c>
      <c r="AB12">
        <v>30</v>
      </c>
      <c r="AC12">
        <v>0</v>
      </c>
      <c r="AD12">
        <v>0</v>
      </c>
      <c r="AE12">
        <f>Dashboard!$B$6*AA12+Dashboard!$B$6*4*AB12/60+Dashboard!$B$6*8*AC12/120+Dashboard!$B$6*7*AD12</f>
        <v>680</v>
      </c>
      <c r="AF12">
        <f>Dashboard!$B$5</f>
        <v>1700</v>
      </c>
      <c r="AG12">
        <f t="shared" si="2"/>
        <v>2720</v>
      </c>
      <c r="AH12">
        <f t="shared" si="3"/>
        <v>-1332.5</v>
      </c>
    </row>
    <row r="13" spans="1:35">
      <c r="A13">
        <v>46189</v>
      </c>
      <c r="B13" t="s">
        <v>91</v>
      </c>
      <c r="C13" t="s">
        <v>89</v>
      </c>
      <c r="D13">
        <v>2</v>
      </c>
      <c r="E13">
        <v>400</v>
      </c>
      <c r="F13">
        <v>30</v>
      </c>
      <c r="G13">
        <v>1</v>
      </c>
      <c r="H13">
        <v>150</v>
      </c>
      <c r="I13">
        <v>250</v>
      </c>
      <c r="J13" t="s">
        <v>90</v>
      </c>
      <c r="K13">
        <v>250</v>
      </c>
      <c r="L13">
        <v>3</v>
      </c>
      <c r="M13">
        <v>0</v>
      </c>
      <c r="N13">
        <f>D13*Food_DB!$C$2</f>
        <v>150</v>
      </c>
      <c r="O13">
        <f>E13/100*Food_DB!$C$3</f>
        <v>260</v>
      </c>
      <c r="P13">
        <f>F13/30*Food_DB!$C$4</f>
        <v>111</v>
      </c>
      <c r="Q13">
        <f>G13*Food_DB!$C$5</f>
        <v>222</v>
      </c>
      <c r="R13">
        <f>H13/100*Food_DB!$C$6</f>
        <v>12</v>
      </c>
      <c r="S13">
        <f>I13/100*Food_DB!$C$7</f>
        <v>62.5</v>
      </c>
      <c r="T13">
        <f>IFERROR(K13/100*VLOOKUP(J13,Food_DB!$A$2:$F$14,3,FALSE),0)</f>
        <v>575</v>
      </c>
      <c r="U13">
        <f>L13*Food_DB!$C$8</f>
        <v>270</v>
      </c>
      <c r="V13">
        <f t="shared" si="0"/>
        <v>0</v>
      </c>
      <c r="W13">
        <f t="shared" si="1"/>
        <v>1662.5</v>
      </c>
      <c r="X13">
        <f>D13*Food_DB!$D$2+E13/100*Food_DB!$D$3+F13/30*Food_DB!$D$4+G13*Food_DB!$D$5+H13/100*Food_DB!$D$6+I13/100*Food_DB!$D$7+IFERROR(K13/100*VLOOKUP(J13,Food_DB!$A$2:$F$14,4,FALSE),0)+L13*Food_DB!$D$8</f>
        <v>87.999999999999986</v>
      </c>
      <c r="Y13">
        <f>D13*Food_DB!$E$2+E13/100*Food_DB!$E$3+F13/30*Food_DB!$E$4+G13*Food_DB!$E$5+H13/100*Food_DB!$E$6+I13/100*Food_DB!$E$7+IFERROR(K13/100*VLOOKUP(J13,Food_DB!$A$2:$F$14,5,FALSE),0)+L13*Food_DB!$E$8</f>
        <v>68.599999999999994</v>
      </c>
      <c r="Z13">
        <f>D13*Food_DB!$F$2+E13/100*Food_DB!$F$3+F13/30*Food_DB!$F$4+G13*Food_DB!$F$5+H13/100*Food_DB!$F$6+I13/100*Food_DB!$F$7+IFERROR(K13/100*VLOOKUP(J13,Food_DB!$A$2:$F$14,6,FALSE),0)+L13*Food_DB!$F$8</f>
        <v>178.15</v>
      </c>
      <c r="AA13">
        <v>6.5</v>
      </c>
      <c r="AB13">
        <v>30</v>
      </c>
      <c r="AC13">
        <v>0</v>
      </c>
      <c r="AD13">
        <v>0</v>
      </c>
      <c r="AE13">
        <f>Dashboard!$B$6*AA13+Dashboard!$B$6*4*AB13/60+Dashboard!$B$6*8*AC13/120+Dashboard!$B$6*7*AD13</f>
        <v>680</v>
      </c>
      <c r="AF13">
        <f>Dashboard!$B$5</f>
        <v>1700</v>
      </c>
      <c r="AG13">
        <f t="shared" si="2"/>
        <v>2720</v>
      </c>
      <c r="AH13">
        <f t="shared" si="3"/>
        <v>-1057.5</v>
      </c>
    </row>
    <row r="14" spans="1:35">
      <c r="A14">
        <v>46190</v>
      </c>
      <c r="B14" t="s">
        <v>92</v>
      </c>
      <c r="C14" t="s">
        <v>89</v>
      </c>
      <c r="D14">
        <v>2</v>
      </c>
      <c r="E14">
        <v>400</v>
      </c>
      <c r="F14">
        <v>30</v>
      </c>
      <c r="G14">
        <v>1</v>
      </c>
      <c r="H14">
        <v>150</v>
      </c>
      <c r="I14">
        <v>250</v>
      </c>
      <c r="J14" t="s">
        <v>82</v>
      </c>
      <c r="K14">
        <v>250</v>
      </c>
      <c r="L14">
        <v>3</v>
      </c>
      <c r="M14">
        <v>0</v>
      </c>
      <c r="N14">
        <f>D14*Food_DB!$C$2</f>
        <v>150</v>
      </c>
      <c r="O14">
        <f>E14/100*Food_DB!$C$3</f>
        <v>260</v>
      </c>
      <c r="P14">
        <f>F14/30*Food_DB!$C$4</f>
        <v>111</v>
      </c>
      <c r="Q14">
        <f>G14*Food_DB!$C$5</f>
        <v>222</v>
      </c>
      <c r="R14">
        <f>H14/100*Food_DB!$C$6</f>
        <v>12</v>
      </c>
      <c r="S14">
        <f>I14/100*Food_DB!$C$7</f>
        <v>62.5</v>
      </c>
      <c r="T14">
        <f>IFERROR(K14/100*VLOOKUP(J14,Food_DB!$A$2:$F$14,3,FALSE),0)</f>
        <v>550</v>
      </c>
      <c r="U14">
        <f>L14*Food_DB!$C$8</f>
        <v>270</v>
      </c>
      <c r="V14">
        <f t="shared" si="0"/>
        <v>0</v>
      </c>
      <c r="W14">
        <f t="shared" si="1"/>
        <v>1637.5</v>
      </c>
      <c r="X14">
        <f>D14*Food_DB!$D$2+E14/100*Food_DB!$D$3+F14/30*Food_DB!$D$4+G14*Food_DB!$D$5+H14/100*Food_DB!$D$6+I14/100*Food_DB!$D$7+IFERROR(K14/100*VLOOKUP(J14,Food_DB!$A$2:$F$14,4,FALSE),0)+L14*Food_DB!$D$8</f>
        <v>92.999999999999986</v>
      </c>
      <c r="Y14">
        <f>D14*Food_DB!$E$2+E14/100*Food_DB!$E$3+F14/30*Food_DB!$E$4+G14*Food_DB!$E$5+H14/100*Food_DB!$E$6+I14/100*Food_DB!$E$7+IFERROR(K14/100*VLOOKUP(J14,Food_DB!$A$2:$F$14,5,FALSE),0)+L14*Food_DB!$E$8</f>
        <v>63.6</v>
      </c>
      <c r="Z14">
        <f>D14*Food_DB!$F$2+E14/100*Food_DB!$F$3+F14/30*Food_DB!$F$4+G14*Food_DB!$F$5+H14/100*Food_DB!$F$6+I14/100*Food_DB!$F$7+IFERROR(K14/100*VLOOKUP(J14,Food_DB!$A$2:$F$14,6,FALSE),0)+L14*Food_DB!$F$8</f>
        <v>178.15</v>
      </c>
      <c r="AA14">
        <v>6.5</v>
      </c>
      <c r="AB14">
        <v>30</v>
      </c>
      <c r="AC14">
        <v>0</v>
      </c>
      <c r="AD14">
        <v>0</v>
      </c>
      <c r="AE14">
        <f>Dashboard!$B$6*AA14+Dashboard!$B$6*4*AB14/60+Dashboard!$B$6*8*AC14/120+Dashboard!$B$6*7*AD14</f>
        <v>680</v>
      </c>
      <c r="AF14">
        <f>Dashboard!$B$5</f>
        <v>1700</v>
      </c>
      <c r="AG14">
        <f t="shared" si="2"/>
        <v>2720</v>
      </c>
      <c r="AH14">
        <f t="shared" si="3"/>
        <v>-1082.5</v>
      </c>
    </row>
    <row r="15" spans="1:35">
      <c r="A15">
        <v>46191</v>
      </c>
      <c r="B15" t="s">
        <v>93</v>
      </c>
      <c r="C15" t="s">
        <v>89</v>
      </c>
      <c r="D15">
        <v>2</v>
      </c>
      <c r="E15">
        <v>400</v>
      </c>
      <c r="F15">
        <v>30</v>
      </c>
      <c r="G15">
        <v>1</v>
      </c>
      <c r="H15">
        <v>150</v>
      </c>
      <c r="I15">
        <v>250</v>
      </c>
      <c r="J15" t="s">
        <v>85</v>
      </c>
      <c r="K15">
        <v>250</v>
      </c>
      <c r="L15">
        <v>3</v>
      </c>
      <c r="M15">
        <v>0</v>
      </c>
      <c r="N15">
        <f>D15*Food_DB!$C$2</f>
        <v>150</v>
      </c>
      <c r="O15">
        <f>E15/100*Food_DB!$C$3</f>
        <v>260</v>
      </c>
      <c r="P15">
        <f>F15/30*Food_DB!$C$4</f>
        <v>111</v>
      </c>
      <c r="Q15">
        <f>G15*Food_DB!$C$5</f>
        <v>222</v>
      </c>
      <c r="R15">
        <f>H15/100*Food_DB!$C$6</f>
        <v>12</v>
      </c>
      <c r="S15">
        <f>I15/100*Food_DB!$C$7</f>
        <v>62.5</v>
      </c>
      <c r="T15">
        <f>IFERROR(K15/100*VLOOKUP(J15,Food_DB!$A$2:$F$14,3,FALSE),0)</f>
        <v>450</v>
      </c>
      <c r="U15">
        <f>L15*Food_DB!$C$8</f>
        <v>270</v>
      </c>
      <c r="V15">
        <f t="shared" si="0"/>
        <v>0</v>
      </c>
      <c r="W15">
        <f t="shared" si="1"/>
        <v>1537.5</v>
      </c>
      <c r="X15">
        <f>D15*Food_DB!$D$2+E15/100*Food_DB!$D$3+F15/30*Food_DB!$D$4+G15*Food_DB!$D$5+H15/100*Food_DB!$D$6+I15/100*Food_DB!$D$7+IFERROR(K15/100*VLOOKUP(J15,Food_DB!$A$2:$F$14,4,FALSE),0)+L15*Food_DB!$D$8</f>
        <v>92.999999999999986</v>
      </c>
      <c r="Y15">
        <f>D15*Food_DB!$E$2+E15/100*Food_DB!$E$3+F15/30*Food_DB!$E$4+G15*Food_DB!$E$5+H15/100*Food_DB!$E$6+I15/100*Food_DB!$E$7+IFERROR(K15/100*VLOOKUP(J15,Food_DB!$A$2:$F$14,5,FALSE),0)+L15*Food_DB!$E$8</f>
        <v>51.1</v>
      </c>
      <c r="Z15">
        <f>D15*Food_DB!$F$2+E15/100*Food_DB!$F$3+F15/30*Food_DB!$F$4+G15*Food_DB!$F$5+H15/100*Food_DB!$F$6+I15/100*Food_DB!$F$7+IFERROR(K15/100*VLOOKUP(J15,Food_DB!$A$2:$F$14,6,FALSE),0)+L15*Food_DB!$F$8</f>
        <v>178.15</v>
      </c>
      <c r="AA15">
        <v>6.5</v>
      </c>
      <c r="AB15">
        <v>30</v>
      </c>
      <c r="AC15">
        <v>0</v>
      </c>
      <c r="AD15">
        <v>0</v>
      </c>
      <c r="AE15">
        <f>Dashboard!$B$6*AA15+Dashboard!$B$6*4*AB15/60+Dashboard!$B$6*8*AC15/120+Dashboard!$B$6*7*AD15</f>
        <v>680</v>
      </c>
      <c r="AF15">
        <f>Dashboard!$B$5</f>
        <v>1700</v>
      </c>
      <c r="AG15">
        <f t="shared" si="2"/>
        <v>2720</v>
      </c>
      <c r="AH15">
        <f t="shared" si="3"/>
        <v>-1182.5</v>
      </c>
    </row>
    <row r="16" spans="1:35">
      <c r="A16">
        <v>46192</v>
      </c>
      <c r="B16" t="s">
        <v>80</v>
      </c>
      <c r="C16" t="s">
        <v>81</v>
      </c>
      <c r="D16">
        <v>2</v>
      </c>
      <c r="E16">
        <v>400</v>
      </c>
      <c r="F16">
        <v>30</v>
      </c>
      <c r="G16">
        <v>1</v>
      </c>
      <c r="H16">
        <v>150</v>
      </c>
      <c r="I16">
        <v>250</v>
      </c>
      <c r="J16" t="s">
        <v>87</v>
      </c>
      <c r="K16">
        <v>250</v>
      </c>
      <c r="L16">
        <v>3</v>
      </c>
      <c r="M16">
        <v>1000</v>
      </c>
      <c r="N16">
        <f>D16*Food_DB!$C$2</f>
        <v>150</v>
      </c>
      <c r="O16">
        <f>E16/100*Food_DB!$C$3</f>
        <v>260</v>
      </c>
      <c r="P16">
        <f>F16/30*Food_DB!$C$4</f>
        <v>111</v>
      </c>
      <c r="Q16">
        <f>G16*Food_DB!$C$5</f>
        <v>222</v>
      </c>
      <c r="R16">
        <f>H16/100*Food_DB!$C$6</f>
        <v>12</v>
      </c>
      <c r="S16">
        <f>I16/100*Food_DB!$C$7</f>
        <v>62.5</v>
      </c>
      <c r="T16">
        <f>IFERROR(K16/100*VLOOKUP(J16,Food_DB!$A$2:$F$14,3,FALSE),0)</f>
        <v>300</v>
      </c>
      <c r="U16">
        <f>L16*Food_DB!$C$8</f>
        <v>270</v>
      </c>
      <c r="V16">
        <f t="shared" si="0"/>
        <v>1000</v>
      </c>
      <c r="W16">
        <f t="shared" si="1"/>
        <v>2387.5</v>
      </c>
      <c r="X16">
        <f>D16*Food_DB!$D$2+E16/100*Food_DB!$D$3+F16/30*Food_DB!$D$4+G16*Food_DB!$D$5+H16/100*Food_DB!$D$6+I16/100*Food_DB!$D$7+IFERROR(K16/100*VLOOKUP(J16,Food_DB!$A$2:$F$14,4,FALSE),0)+L16*Food_DB!$D$8</f>
        <v>100.49999999999999</v>
      </c>
      <c r="Y16">
        <f>D16*Food_DB!$E$2+E16/100*Food_DB!$E$3+F16/30*Food_DB!$E$4+G16*Food_DB!$E$5+H16/100*Food_DB!$E$6+I16/100*Food_DB!$E$7+IFERROR(K16/100*VLOOKUP(J16,Food_DB!$A$2:$F$14,5,FALSE),0)+L16*Food_DB!$E$8</f>
        <v>32.35</v>
      </c>
      <c r="Z16">
        <f>D16*Food_DB!$F$2+E16/100*Food_DB!$F$3+F16/30*Food_DB!$F$4+G16*Food_DB!$F$5+H16/100*Food_DB!$F$6+I16/100*Food_DB!$F$7+IFERROR(K16/100*VLOOKUP(J16,Food_DB!$A$2:$F$14,6,FALSE),0)+L16*Food_DB!$F$8</f>
        <v>178.15</v>
      </c>
      <c r="AA16">
        <v>6.5</v>
      </c>
      <c r="AB16">
        <v>30</v>
      </c>
      <c r="AC16">
        <v>0</v>
      </c>
      <c r="AD16">
        <v>0</v>
      </c>
      <c r="AE16">
        <f>Dashboard!$B$6*AA16+Dashboard!$B$6*4*AB16/60+Dashboard!$B$6*8*AC16/120+Dashboard!$B$6*7*AD16</f>
        <v>680</v>
      </c>
      <c r="AF16">
        <f>Dashboard!$B$5</f>
        <v>1700</v>
      </c>
      <c r="AG16">
        <f t="shared" si="2"/>
        <v>2720</v>
      </c>
      <c r="AH16">
        <f t="shared" si="3"/>
        <v>-332.5</v>
      </c>
    </row>
    <row r="17" spans="1:34">
      <c r="A17">
        <v>46193</v>
      </c>
      <c r="B17" t="s">
        <v>83</v>
      </c>
      <c r="C17" t="s">
        <v>84</v>
      </c>
      <c r="D17">
        <v>2</v>
      </c>
      <c r="E17">
        <v>400</v>
      </c>
      <c r="F17">
        <v>30</v>
      </c>
      <c r="G17">
        <v>1</v>
      </c>
      <c r="H17">
        <v>150</v>
      </c>
      <c r="I17">
        <v>250</v>
      </c>
      <c r="J17" t="s">
        <v>90</v>
      </c>
      <c r="K17">
        <v>250</v>
      </c>
      <c r="L17">
        <v>3</v>
      </c>
      <c r="M17">
        <v>0</v>
      </c>
      <c r="N17">
        <f>D17*Food_DB!$C$2</f>
        <v>150</v>
      </c>
      <c r="O17">
        <f>E17/100*Food_DB!$C$3</f>
        <v>260</v>
      </c>
      <c r="P17">
        <f>F17/30*Food_DB!$C$4</f>
        <v>111</v>
      </c>
      <c r="Q17">
        <f>G17*Food_DB!$C$5</f>
        <v>222</v>
      </c>
      <c r="R17">
        <f>H17/100*Food_DB!$C$6</f>
        <v>12</v>
      </c>
      <c r="S17">
        <f>I17/100*Food_DB!$C$7</f>
        <v>62.5</v>
      </c>
      <c r="T17">
        <f>IFERROR(K17/100*VLOOKUP(J17,Food_DB!$A$2:$F$14,3,FALSE),0)</f>
        <v>575</v>
      </c>
      <c r="U17">
        <f>L17*Food_DB!$C$8</f>
        <v>270</v>
      </c>
      <c r="V17">
        <f t="shared" si="0"/>
        <v>0</v>
      </c>
      <c r="W17">
        <f t="shared" si="1"/>
        <v>1662.5</v>
      </c>
      <c r="X17">
        <f>D17*Food_DB!$D$2+E17/100*Food_DB!$D$3+F17/30*Food_DB!$D$4+G17*Food_DB!$D$5+H17/100*Food_DB!$D$6+I17/100*Food_DB!$D$7+IFERROR(K17/100*VLOOKUP(J17,Food_DB!$A$2:$F$14,4,FALSE),0)+L17*Food_DB!$D$8</f>
        <v>87.999999999999986</v>
      </c>
      <c r="Y17">
        <f>D17*Food_DB!$E$2+E17/100*Food_DB!$E$3+F17/30*Food_DB!$E$4+G17*Food_DB!$E$5+H17/100*Food_DB!$E$6+I17/100*Food_DB!$E$7+IFERROR(K17/100*VLOOKUP(J17,Food_DB!$A$2:$F$14,5,FALSE),0)+L17*Food_DB!$E$8</f>
        <v>68.599999999999994</v>
      </c>
      <c r="Z17">
        <f>D17*Food_DB!$F$2+E17/100*Food_DB!$F$3+F17/30*Food_DB!$F$4+G17*Food_DB!$F$5+H17/100*Food_DB!$F$6+I17/100*Food_DB!$F$7+IFERROR(K17/100*VLOOKUP(J17,Food_DB!$A$2:$F$14,6,FALSE),0)+L17*Food_DB!$F$8</f>
        <v>178.15</v>
      </c>
      <c r="AA17">
        <v>0</v>
      </c>
      <c r="AB17">
        <v>0</v>
      </c>
      <c r="AC17">
        <v>0</v>
      </c>
      <c r="AD17">
        <v>3.5</v>
      </c>
      <c r="AE17">
        <f>Dashboard!$B$6*AA17+Dashboard!$B$6*4*AB17/60+Dashboard!$B$6*8*AC17/120+Dashboard!$B$6*7*AD17</f>
        <v>1960</v>
      </c>
      <c r="AF17">
        <f>Dashboard!$B$5</f>
        <v>1700</v>
      </c>
      <c r="AG17">
        <f t="shared" si="2"/>
        <v>4000</v>
      </c>
      <c r="AH17">
        <f t="shared" si="3"/>
        <v>-2337.5</v>
      </c>
    </row>
    <row r="18" spans="1:34">
      <c r="A18">
        <v>46194</v>
      </c>
      <c r="B18" t="s">
        <v>86</v>
      </c>
      <c r="C18" t="s">
        <v>84</v>
      </c>
      <c r="D18">
        <v>2</v>
      </c>
      <c r="E18">
        <v>400</v>
      </c>
      <c r="F18">
        <v>30</v>
      </c>
      <c r="G18">
        <v>1</v>
      </c>
      <c r="H18">
        <v>150</v>
      </c>
      <c r="I18">
        <v>250</v>
      </c>
      <c r="J18" t="s">
        <v>82</v>
      </c>
      <c r="K18">
        <v>250</v>
      </c>
      <c r="L18">
        <v>3</v>
      </c>
      <c r="M18">
        <v>0</v>
      </c>
      <c r="N18">
        <f>D18*Food_DB!$C$2</f>
        <v>150</v>
      </c>
      <c r="O18">
        <f>E18/100*Food_DB!$C$3</f>
        <v>260</v>
      </c>
      <c r="P18">
        <f>F18/30*Food_DB!$C$4</f>
        <v>111</v>
      </c>
      <c r="Q18">
        <f>G18*Food_DB!$C$5</f>
        <v>222</v>
      </c>
      <c r="R18">
        <f>H18/100*Food_DB!$C$6</f>
        <v>12</v>
      </c>
      <c r="S18">
        <f>I18/100*Food_DB!$C$7</f>
        <v>62.5</v>
      </c>
      <c r="T18">
        <f>IFERROR(K18/100*VLOOKUP(J18,Food_DB!$A$2:$F$14,3,FALSE),0)</f>
        <v>550</v>
      </c>
      <c r="U18">
        <f>L18*Food_DB!$C$8</f>
        <v>270</v>
      </c>
      <c r="V18">
        <f t="shared" si="0"/>
        <v>0</v>
      </c>
      <c r="W18">
        <f t="shared" si="1"/>
        <v>1637.5</v>
      </c>
      <c r="X18">
        <f>D18*Food_DB!$D$2+E18/100*Food_DB!$D$3+F18/30*Food_DB!$D$4+G18*Food_DB!$D$5+H18/100*Food_DB!$D$6+I18/100*Food_DB!$D$7+IFERROR(K18/100*VLOOKUP(J18,Food_DB!$A$2:$F$14,4,FALSE),0)+L18*Food_DB!$D$8</f>
        <v>92.999999999999986</v>
      </c>
      <c r="Y18">
        <f>D18*Food_DB!$E$2+E18/100*Food_DB!$E$3+F18/30*Food_DB!$E$4+G18*Food_DB!$E$5+H18/100*Food_DB!$E$6+I18/100*Food_DB!$E$7+IFERROR(K18/100*VLOOKUP(J18,Food_DB!$A$2:$F$14,5,FALSE),0)+L18*Food_DB!$E$8</f>
        <v>63.6</v>
      </c>
      <c r="Z18">
        <f>D18*Food_DB!$F$2+E18/100*Food_DB!$F$3+F18/30*Food_DB!$F$4+G18*Food_DB!$F$5+H18/100*Food_DB!$F$6+I18/100*Food_DB!$F$7+IFERROR(K18/100*VLOOKUP(J18,Food_DB!$A$2:$F$14,6,FALSE),0)+L18*Food_DB!$F$8</f>
        <v>178.15</v>
      </c>
      <c r="AA18">
        <v>0</v>
      </c>
      <c r="AB18">
        <v>0</v>
      </c>
      <c r="AC18">
        <v>0</v>
      </c>
      <c r="AD18">
        <v>3.5</v>
      </c>
      <c r="AE18">
        <f>Dashboard!$B$6*AA18+Dashboard!$B$6*4*AB18/60+Dashboard!$B$6*8*AC18/120+Dashboard!$B$6*7*AD18</f>
        <v>1960</v>
      </c>
      <c r="AF18">
        <f>Dashboard!$B$5</f>
        <v>1700</v>
      </c>
      <c r="AG18">
        <f t="shared" si="2"/>
        <v>4000</v>
      </c>
      <c r="AH18">
        <f t="shared" si="3"/>
        <v>-2362.5</v>
      </c>
    </row>
    <row r="19" spans="1:34">
      <c r="A19">
        <v>46195</v>
      </c>
      <c r="B19" t="s">
        <v>88</v>
      </c>
      <c r="C19" t="s">
        <v>89</v>
      </c>
      <c r="D19">
        <v>2</v>
      </c>
      <c r="E19">
        <v>400</v>
      </c>
      <c r="F19">
        <v>30</v>
      </c>
      <c r="G19">
        <v>1</v>
      </c>
      <c r="H19">
        <v>150</v>
      </c>
      <c r="I19">
        <v>250</v>
      </c>
      <c r="J19" t="s">
        <v>85</v>
      </c>
      <c r="K19">
        <v>250</v>
      </c>
      <c r="L19">
        <v>3</v>
      </c>
      <c r="M19">
        <v>0</v>
      </c>
      <c r="N19">
        <f>D19*Food_DB!$C$2</f>
        <v>150</v>
      </c>
      <c r="O19">
        <f>E19/100*Food_DB!$C$3</f>
        <v>260</v>
      </c>
      <c r="P19">
        <f>F19/30*Food_DB!$C$4</f>
        <v>111</v>
      </c>
      <c r="Q19">
        <f>G19*Food_DB!$C$5</f>
        <v>222</v>
      </c>
      <c r="R19">
        <f>H19/100*Food_DB!$C$6</f>
        <v>12</v>
      </c>
      <c r="S19">
        <f>I19/100*Food_DB!$C$7</f>
        <v>62.5</v>
      </c>
      <c r="T19">
        <f>IFERROR(K19/100*VLOOKUP(J19,Food_DB!$A$2:$F$14,3,FALSE),0)</f>
        <v>450</v>
      </c>
      <c r="U19">
        <f>L19*Food_DB!$C$8</f>
        <v>270</v>
      </c>
      <c r="V19">
        <f t="shared" si="0"/>
        <v>0</v>
      </c>
      <c r="W19">
        <f t="shared" si="1"/>
        <v>1537.5</v>
      </c>
      <c r="X19">
        <f>D19*Food_DB!$D$2+E19/100*Food_DB!$D$3+F19/30*Food_DB!$D$4+G19*Food_DB!$D$5+H19/100*Food_DB!$D$6+I19/100*Food_DB!$D$7+IFERROR(K19/100*VLOOKUP(J19,Food_DB!$A$2:$F$14,4,FALSE),0)+L19*Food_DB!$D$8</f>
        <v>92.999999999999986</v>
      </c>
      <c r="Y19">
        <f>D19*Food_DB!$E$2+E19/100*Food_DB!$E$3+F19/30*Food_DB!$E$4+G19*Food_DB!$E$5+H19/100*Food_DB!$E$6+I19/100*Food_DB!$E$7+IFERROR(K19/100*VLOOKUP(J19,Food_DB!$A$2:$F$14,5,FALSE),0)+L19*Food_DB!$E$8</f>
        <v>51.1</v>
      </c>
      <c r="Z19">
        <f>D19*Food_DB!$F$2+E19/100*Food_DB!$F$3+F19/30*Food_DB!$F$4+G19*Food_DB!$F$5+H19/100*Food_DB!$F$6+I19/100*Food_DB!$F$7+IFERROR(K19/100*VLOOKUP(J19,Food_DB!$A$2:$F$14,6,FALSE),0)+L19*Food_DB!$F$8</f>
        <v>178.15</v>
      </c>
      <c r="AA19">
        <v>6.5</v>
      </c>
      <c r="AB19">
        <v>30</v>
      </c>
      <c r="AC19">
        <v>0</v>
      </c>
      <c r="AD19">
        <v>0</v>
      </c>
      <c r="AE19">
        <f>Dashboard!$B$6*AA19+Dashboard!$B$6*4*AB19/60+Dashboard!$B$6*8*AC19/120+Dashboard!$B$6*7*AD19</f>
        <v>680</v>
      </c>
      <c r="AF19">
        <f>Dashboard!$B$5</f>
        <v>1700</v>
      </c>
      <c r="AG19">
        <f t="shared" si="2"/>
        <v>2720</v>
      </c>
      <c r="AH19">
        <f t="shared" si="3"/>
        <v>-1182.5</v>
      </c>
    </row>
    <row r="20" spans="1:34">
      <c r="A20">
        <v>46196</v>
      </c>
      <c r="B20" t="s">
        <v>91</v>
      </c>
      <c r="C20" t="s">
        <v>89</v>
      </c>
      <c r="D20">
        <v>2</v>
      </c>
      <c r="E20">
        <v>400</v>
      </c>
      <c r="F20">
        <v>30</v>
      </c>
      <c r="G20">
        <v>1</v>
      </c>
      <c r="H20">
        <v>150</v>
      </c>
      <c r="I20">
        <v>250</v>
      </c>
      <c r="J20" t="s">
        <v>87</v>
      </c>
      <c r="K20">
        <v>250</v>
      </c>
      <c r="L20">
        <v>3</v>
      </c>
      <c r="M20">
        <v>0</v>
      </c>
      <c r="N20">
        <f>D20*Food_DB!$C$2</f>
        <v>150</v>
      </c>
      <c r="O20">
        <f>E20/100*Food_DB!$C$3</f>
        <v>260</v>
      </c>
      <c r="P20">
        <f>F20/30*Food_DB!$C$4</f>
        <v>111</v>
      </c>
      <c r="Q20">
        <f>G20*Food_DB!$C$5</f>
        <v>222</v>
      </c>
      <c r="R20">
        <f>H20/100*Food_DB!$C$6</f>
        <v>12</v>
      </c>
      <c r="S20">
        <f>I20/100*Food_DB!$C$7</f>
        <v>62.5</v>
      </c>
      <c r="T20">
        <f>IFERROR(K20/100*VLOOKUP(J20,Food_DB!$A$2:$F$14,3,FALSE),0)</f>
        <v>300</v>
      </c>
      <c r="U20">
        <f>L20*Food_DB!$C$8</f>
        <v>270</v>
      </c>
      <c r="V20">
        <f t="shared" si="0"/>
        <v>0</v>
      </c>
      <c r="W20">
        <f t="shared" si="1"/>
        <v>1387.5</v>
      </c>
      <c r="X20">
        <f>D20*Food_DB!$D$2+E20/100*Food_DB!$D$3+F20/30*Food_DB!$D$4+G20*Food_DB!$D$5+H20/100*Food_DB!$D$6+I20/100*Food_DB!$D$7+IFERROR(K20/100*VLOOKUP(J20,Food_DB!$A$2:$F$14,4,FALSE),0)+L20*Food_DB!$D$8</f>
        <v>100.49999999999999</v>
      </c>
      <c r="Y20">
        <f>D20*Food_DB!$E$2+E20/100*Food_DB!$E$3+F20/30*Food_DB!$E$4+G20*Food_DB!$E$5+H20/100*Food_DB!$E$6+I20/100*Food_DB!$E$7+IFERROR(K20/100*VLOOKUP(J20,Food_DB!$A$2:$F$14,5,FALSE),0)+L20*Food_DB!$E$8</f>
        <v>32.35</v>
      </c>
      <c r="Z20">
        <f>D20*Food_DB!$F$2+E20/100*Food_DB!$F$3+F20/30*Food_DB!$F$4+G20*Food_DB!$F$5+H20/100*Food_DB!$F$6+I20/100*Food_DB!$F$7+IFERROR(K20/100*VLOOKUP(J20,Food_DB!$A$2:$F$14,6,FALSE),0)+L20*Food_DB!$F$8</f>
        <v>178.15</v>
      </c>
      <c r="AA20">
        <v>6.5</v>
      </c>
      <c r="AB20">
        <v>30</v>
      </c>
      <c r="AC20">
        <v>0</v>
      </c>
      <c r="AD20">
        <v>0</v>
      </c>
      <c r="AE20">
        <f>Dashboard!$B$6*AA20+Dashboard!$B$6*4*AB20/60+Dashboard!$B$6*8*AC20/120+Dashboard!$B$6*7*AD20</f>
        <v>680</v>
      </c>
      <c r="AF20">
        <f>Dashboard!$B$5</f>
        <v>1700</v>
      </c>
      <c r="AG20">
        <f t="shared" si="2"/>
        <v>2720</v>
      </c>
      <c r="AH20">
        <f t="shared" si="3"/>
        <v>-1332.5</v>
      </c>
    </row>
    <row r="21" spans="1:34">
      <c r="A21">
        <v>46197</v>
      </c>
      <c r="B21" t="s">
        <v>92</v>
      </c>
      <c r="C21" t="s">
        <v>89</v>
      </c>
      <c r="D21">
        <v>2</v>
      </c>
      <c r="E21">
        <v>400</v>
      </c>
      <c r="F21">
        <v>30</v>
      </c>
      <c r="G21">
        <v>1</v>
      </c>
      <c r="H21">
        <v>150</v>
      </c>
      <c r="I21">
        <v>250</v>
      </c>
      <c r="J21" t="s">
        <v>90</v>
      </c>
      <c r="K21">
        <v>250</v>
      </c>
      <c r="L21">
        <v>3</v>
      </c>
      <c r="M21">
        <v>0</v>
      </c>
      <c r="N21">
        <f>D21*Food_DB!$C$2</f>
        <v>150</v>
      </c>
      <c r="O21">
        <f>E21/100*Food_DB!$C$3</f>
        <v>260</v>
      </c>
      <c r="P21">
        <f>F21/30*Food_DB!$C$4</f>
        <v>111</v>
      </c>
      <c r="Q21">
        <f>G21*Food_DB!$C$5</f>
        <v>222</v>
      </c>
      <c r="R21">
        <f>H21/100*Food_DB!$C$6</f>
        <v>12</v>
      </c>
      <c r="S21">
        <f>I21/100*Food_DB!$C$7</f>
        <v>62.5</v>
      </c>
      <c r="T21">
        <f>IFERROR(K21/100*VLOOKUP(J21,Food_DB!$A$2:$F$14,3,FALSE),0)</f>
        <v>575</v>
      </c>
      <c r="U21">
        <f>L21*Food_DB!$C$8</f>
        <v>270</v>
      </c>
      <c r="V21">
        <f t="shared" si="0"/>
        <v>0</v>
      </c>
      <c r="W21">
        <f t="shared" si="1"/>
        <v>1662.5</v>
      </c>
      <c r="X21">
        <f>D21*Food_DB!$D$2+E21/100*Food_DB!$D$3+F21/30*Food_DB!$D$4+G21*Food_DB!$D$5+H21/100*Food_DB!$D$6+I21/100*Food_DB!$D$7+IFERROR(K21/100*VLOOKUP(J21,Food_DB!$A$2:$F$14,4,FALSE),0)+L21*Food_DB!$D$8</f>
        <v>87.999999999999986</v>
      </c>
      <c r="Y21">
        <f>D21*Food_DB!$E$2+E21/100*Food_DB!$E$3+F21/30*Food_DB!$E$4+G21*Food_DB!$E$5+H21/100*Food_DB!$E$6+I21/100*Food_DB!$E$7+IFERROR(K21/100*VLOOKUP(J21,Food_DB!$A$2:$F$14,5,FALSE),0)+L21*Food_DB!$E$8</f>
        <v>68.599999999999994</v>
      </c>
      <c r="Z21">
        <f>D21*Food_DB!$F$2+E21/100*Food_DB!$F$3+F21/30*Food_DB!$F$4+G21*Food_DB!$F$5+H21/100*Food_DB!$F$6+I21/100*Food_DB!$F$7+IFERROR(K21/100*VLOOKUP(J21,Food_DB!$A$2:$F$14,6,FALSE),0)+L21*Food_DB!$F$8</f>
        <v>178.15</v>
      </c>
      <c r="AA21">
        <v>6.5</v>
      </c>
      <c r="AB21">
        <v>30</v>
      </c>
      <c r="AC21">
        <v>0</v>
      </c>
      <c r="AD21">
        <v>0</v>
      </c>
      <c r="AE21">
        <f>Dashboard!$B$6*AA21+Dashboard!$B$6*4*AB21/60+Dashboard!$B$6*8*AC21/120+Dashboard!$B$6*7*AD21</f>
        <v>680</v>
      </c>
      <c r="AF21">
        <f>Dashboard!$B$5</f>
        <v>1700</v>
      </c>
      <c r="AG21">
        <f t="shared" si="2"/>
        <v>2720</v>
      </c>
      <c r="AH21">
        <f t="shared" si="3"/>
        <v>-1057.5</v>
      </c>
    </row>
    <row r="22" spans="1:34">
      <c r="A22">
        <v>46198</v>
      </c>
      <c r="B22" t="s">
        <v>93</v>
      </c>
      <c r="C22" t="s">
        <v>89</v>
      </c>
      <c r="D22">
        <v>2</v>
      </c>
      <c r="E22">
        <v>400</v>
      </c>
      <c r="F22">
        <v>30</v>
      </c>
      <c r="G22">
        <v>1</v>
      </c>
      <c r="H22">
        <v>150</v>
      </c>
      <c r="I22">
        <v>250</v>
      </c>
      <c r="J22" t="s">
        <v>82</v>
      </c>
      <c r="K22">
        <v>250</v>
      </c>
      <c r="L22">
        <v>3</v>
      </c>
      <c r="M22">
        <v>0</v>
      </c>
      <c r="N22">
        <f>D22*Food_DB!$C$2</f>
        <v>150</v>
      </c>
      <c r="O22">
        <f>E22/100*Food_DB!$C$3</f>
        <v>260</v>
      </c>
      <c r="P22">
        <f>F22/30*Food_DB!$C$4</f>
        <v>111</v>
      </c>
      <c r="Q22">
        <f>G22*Food_DB!$C$5</f>
        <v>222</v>
      </c>
      <c r="R22">
        <f>H22/100*Food_DB!$C$6</f>
        <v>12</v>
      </c>
      <c r="S22">
        <f>I22/100*Food_DB!$C$7</f>
        <v>62.5</v>
      </c>
      <c r="T22">
        <f>IFERROR(K22/100*VLOOKUP(J22,Food_DB!$A$2:$F$14,3,FALSE),0)</f>
        <v>550</v>
      </c>
      <c r="U22">
        <f>L22*Food_DB!$C$8</f>
        <v>270</v>
      </c>
      <c r="V22">
        <f t="shared" si="0"/>
        <v>0</v>
      </c>
      <c r="W22">
        <f t="shared" si="1"/>
        <v>1637.5</v>
      </c>
      <c r="X22">
        <f>D22*Food_DB!$D$2+E22/100*Food_DB!$D$3+F22/30*Food_DB!$D$4+G22*Food_DB!$D$5+H22/100*Food_DB!$D$6+I22/100*Food_DB!$D$7+IFERROR(K22/100*VLOOKUP(J22,Food_DB!$A$2:$F$14,4,FALSE),0)+L22*Food_DB!$D$8</f>
        <v>92.999999999999986</v>
      </c>
      <c r="Y22">
        <f>D22*Food_DB!$E$2+E22/100*Food_DB!$E$3+F22/30*Food_DB!$E$4+G22*Food_DB!$E$5+H22/100*Food_DB!$E$6+I22/100*Food_DB!$E$7+IFERROR(K22/100*VLOOKUP(J22,Food_DB!$A$2:$F$14,5,FALSE),0)+L22*Food_DB!$E$8</f>
        <v>63.6</v>
      </c>
      <c r="Z22">
        <f>D22*Food_DB!$F$2+E22/100*Food_DB!$F$3+F22/30*Food_DB!$F$4+G22*Food_DB!$F$5+H22/100*Food_DB!$F$6+I22/100*Food_DB!$F$7+IFERROR(K22/100*VLOOKUP(J22,Food_DB!$A$2:$F$14,6,FALSE),0)+L22*Food_DB!$F$8</f>
        <v>178.15</v>
      </c>
      <c r="AA22">
        <v>6.5</v>
      </c>
      <c r="AB22">
        <v>30</v>
      </c>
      <c r="AC22">
        <v>0</v>
      </c>
      <c r="AD22">
        <v>0</v>
      </c>
      <c r="AE22">
        <f>Dashboard!$B$6*AA22+Dashboard!$B$6*4*AB22/60+Dashboard!$B$6*8*AC22/120+Dashboard!$B$6*7*AD22</f>
        <v>680</v>
      </c>
      <c r="AF22">
        <f>Dashboard!$B$5</f>
        <v>1700</v>
      </c>
      <c r="AG22">
        <f t="shared" si="2"/>
        <v>2720</v>
      </c>
      <c r="AH22">
        <f t="shared" si="3"/>
        <v>-1082.5</v>
      </c>
    </row>
    <row r="23" spans="1:34">
      <c r="A23">
        <v>46199</v>
      </c>
      <c r="B23" t="s">
        <v>80</v>
      </c>
      <c r="C23" t="s">
        <v>81</v>
      </c>
      <c r="D23">
        <v>2</v>
      </c>
      <c r="E23">
        <v>400</v>
      </c>
      <c r="F23">
        <v>30</v>
      </c>
      <c r="G23">
        <v>1</v>
      </c>
      <c r="H23">
        <v>150</v>
      </c>
      <c r="I23">
        <v>250</v>
      </c>
      <c r="J23" t="s">
        <v>85</v>
      </c>
      <c r="K23">
        <v>250</v>
      </c>
      <c r="L23">
        <v>3</v>
      </c>
      <c r="M23">
        <v>1000</v>
      </c>
      <c r="N23">
        <f>D23*Food_DB!$C$2</f>
        <v>150</v>
      </c>
      <c r="O23">
        <f>E23/100*Food_DB!$C$3</f>
        <v>260</v>
      </c>
      <c r="P23">
        <f>F23/30*Food_DB!$C$4</f>
        <v>111</v>
      </c>
      <c r="Q23">
        <f>G23*Food_DB!$C$5</f>
        <v>222</v>
      </c>
      <c r="R23">
        <f>H23/100*Food_DB!$C$6</f>
        <v>12</v>
      </c>
      <c r="S23">
        <f>I23/100*Food_DB!$C$7</f>
        <v>62.5</v>
      </c>
      <c r="T23">
        <f>IFERROR(K23/100*VLOOKUP(J23,Food_DB!$A$2:$F$14,3,FALSE),0)</f>
        <v>450</v>
      </c>
      <c r="U23">
        <f>L23*Food_DB!$C$8</f>
        <v>270</v>
      </c>
      <c r="V23">
        <f t="shared" si="0"/>
        <v>1000</v>
      </c>
      <c r="W23">
        <f t="shared" si="1"/>
        <v>2537.5</v>
      </c>
      <c r="X23">
        <f>D23*Food_DB!$D$2+E23/100*Food_DB!$D$3+F23/30*Food_DB!$D$4+G23*Food_DB!$D$5+H23/100*Food_DB!$D$6+I23/100*Food_DB!$D$7+IFERROR(K23/100*VLOOKUP(J23,Food_DB!$A$2:$F$14,4,FALSE),0)+L23*Food_DB!$D$8</f>
        <v>92.999999999999986</v>
      </c>
      <c r="Y23">
        <f>D23*Food_DB!$E$2+E23/100*Food_DB!$E$3+F23/30*Food_DB!$E$4+G23*Food_DB!$E$5+H23/100*Food_DB!$E$6+I23/100*Food_DB!$E$7+IFERROR(K23/100*VLOOKUP(J23,Food_DB!$A$2:$F$14,5,FALSE),0)+L23*Food_DB!$E$8</f>
        <v>51.1</v>
      </c>
      <c r="Z23">
        <f>D23*Food_DB!$F$2+E23/100*Food_DB!$F$3+F23/30*Food_DB!$F$4+G23*Food_DB!$F$5+H23/100*Food_DB!$F$6+I23/100*Food_DB!$F$7+IFERROR(K23/100*VLOOKUP(J23,Food_DB!$A$2:$F$14,6,FALSE),0)+L23*Food_DB!$F$8</f>
        <v>178.15</v>
      </c>
      <c r="AA23">
        <v>6.5</v>
      </c>
      <c r="AB23">
        <v>30</v>
      </c>
      <c r="AC23">
        <v>0</v>
      </c>
      <c r="AD23">
        <v>0</v>
      </c>
      <c r="AE23">
        <f>Dashboard!$B$6*AA23+Dashboard!$B$6*4*AB23/60+Dashboard!$B$6*8*AC23/120+Dashboard!$B$6*7*AD23</f>
        <v>680</v>
      </c>
      <c r="AF23">
        <f>Dashboard!$B$5</f>
        <v>1700</v>
      </c>
      <c r="AG23">
        <f t="shared" si="2"/>
        <v>2720</v>
      </c>
      <c r="AH23">
        <f t="shared" si="3"/>
        <v>-182.5</v>
      </c>
    </row>
    <row r="24" spans="1:34">
      <c r="A24">
        <v>46200</v>
      </c>
      <c r="B24" t="s">
        <v>83</v>
      </c>
      <c r="C24" t="s">
        <v>84</v>
      </c>
      <c r="D24">
        <v>2</v>
      </c>
      <c r="E24">
        <v>400</v>
      </c>
      <c r="F24">
        <v>30</v>
      </c>
      <c r="G24">
        <v>1</v>
      </c>
      <c r="H24">
        <v>150</v>
      </c>
      <c r="I24">
        <v>250</v>
      </c>
      <c r="J24" t="s">
        <v>87</v>
      </c>
      <c r="K24">
        <v>250</v>
      </c>
      <c r="L24">
        <v>3</v>
      </c>
      <c r="M24">
        <v>0</v>
      </c>
      <c r="N24">
        <f>D24*Food_DB!$C$2</f>
        <v>150</v>
      </c>
      <c r="O24">
        <f>E24/100*Food_DB!$C$3</f>
        <v>260</v>
      </c>
      <c r="P24">
        <f>F24/30*Food_DB!$C$4</f>
        <v>111</v>
      </c>
      <c r="Q24">
        <f>G24*Food_DB!$C$5</f>
        <v>222</v>
      </c>
      <c r="R24">
        <f>H24/100*Food_DB!$C$6</f>
        <v>12</v>
      </c>
      <c r="S24">
        <f>I24/100*Food_DB!$C$7</f>
        <v>62.5</v>
      </c>
      <c r="T24">
        <f>IFERROR(K24/100*VLOOKUP(J24,Food_DB!$A$2:$F$14,3,FALSE),0)</f>
        <v>300</v>
      </c>
      <c r="U24">
        <f>L24*Food_DB!$C$8</f>
        <v>270</v>
      </c>
      <c r="V24">
        <f t="shared" si="0"/>
        <v>0</v>
      </c>
      <c r="W24">
        <f t="shared" si="1"/>
        <v>1387.5</v>
      </c>
      <c r="X24">
        <f>D24*Food_DB!$D$2+E24/100*Food_DB!$D$3+F24/30*Food_DB!$D$4+G24*Food_DB!$D$5+H24/100*Food_DB!$D$6+I24/100*Food_DB!$D$7+IFERROR(K24/100*VLOOKUP(J24,Food_DB!$A$2:$F$14,4,FALSE),0)+L24*Food_DB!$D$8</f>
        <v>100.49999999999999</v>
      </c>
      <c r="Y24">
        <f>D24*Food_DB!$E$2+E24/100*Food_DB!$E$3+F24/30*Food_DB!$E$4+G24*Food_DB!$E$5+H24/100*Food_DB!$E$6+I24/100*Food_DB!$E$7+IFERROR(K24/100*VLOOKUP(J24,Food_DB!$A$2:$F$14,5,FALSE),0)+L24*Food_DB!$E$8</f>
        <v>32.35</v>
      </c>
      <c r="Z24">
        <f>D24*Food_DB!$F$2+E24/100*Food_DB!$F$3+F24/30*Food_DB!$F$4+G24*Food_DB!$F$5+H24/100*Food_DB!$F$6+I24/100*Food_DB!$F$7+IFERROR(K24/100*VLOOKUP(J24,Food_DB!$A$2:$F$14,6,FALSE),0)+L24*Food_DB!$F$8</f>
        <v>178.15</v>
      </c>
      <c r="AA24">
        <v>0</v>
      </c>
      <c r="AB24">
        <v>0</v>
      </c>
      <c r="AC24">
        <v>0</v>
      </c>
      <c r="AD24">
        <v>3.5</v>
      </c>
      <c r="AE24">
        <f>Dashboard!$B$6*AA24+Dashboard!$B$6*4*AB24/60+Dashboard!$B$6*8*AC24/120+Dashboard!$B$6*7*AD24</f>
        <v>1960</v>
      </c>
      <c r="AF24">
        <f>Dashboard!$B$5</f>
        <v>1700</v>
      </c>
      <c r="AG24">
        <f t="shared" si="2"/>
        <v>4000</v>
      </c>
      <c r="AH24">
        <f t="shared" si="3"/>
        <v>-2612.5</v>
      </c>
    </row>
    <row r="25" spans="1:34">
      <c r="A25">
        <v>46201</v>
      </c>
      <c r="B25" t="s">
        <v>86</v>
      </c>
      <c r="C25" t="s">
        <v>84</v>
      </c>
      <c r="D25">
        <v>2</v>
      </c>
      <c r="E25">
        <v>400</v>
      </c>
      <c r="F25">
        <v>30</v>
      </c>
      <c r="G25">
        <v>1</v>
      </c>
      <c r="H25">
        <v>150</v>
      </c>
      <c r="I25">
        <v>250</v>
      </c>
      <c r="J25" t="s">
        <v>90</v>
      </c>
      <c r="K25">
        <v>250</v>
      </c>
      <c r="L25">
        <v>3</v>
      </c>
      <c r="M25">
        <v>0</v>
      </c>
      <c r="N25">
        <f>D25*Food_DB!$C$2</f>
        <v>150</v>
      </c>
      <c r="O25">
        <f>E25/100*Food_DB!$C$3</f>
        <v>260</v>
      </c>
      <c r="P25">
        <f>F25/30*Food_DB!$C$4</f>
        <v>111</v>
      </c>
      <c r="Q25">
        <f>G25*Food_DB!$C$5</f>
        <v>222</v>
      </c>
      <c r="R25">
        <f>H25/100*Food_DB!$C$6</f>
        <v>12</v>
      </c>
      <c r="S25">
        <f>I25/100*Food_DB!$C$7</f>
        <v>62.5</v>
      </c>
      <c r="T25">
        <f>IFERROR(K25/100*VLOOKUP(J25,Food_DB!$A$2:$F$14,3,FALSE),0)</f>
        <v>575</v>
      </c>
      <c r="U25">
        <f>L25*Food_DB!$C$8</f>
        <v>270</v>
      </c>
      <c r="V25">
        <f t="shared" si="0"/>
        <v>0</v>
      </c>
      <c r="W25">
        <f t="shared" si="1"/>
        <v>1662.5</v>
      </c>
      <c r="X25">
        <f>D25*Food_DB!$D$2+E25/100*Food_DB!$D$3+F25/30*Food_DB!$D$4+G25*Food_DB!$D$5+H25/100*Food_DB!$D$6+I25/100*Food_DB!$D$7+IFERROR(K25/100*VLOOKUP(J25,Food_DB!$A$2:$F$14,4,FALSE),0)+L25*Food_DB!$D$8</f>
        <v>87.999999999999986</v>
      </c>
      <c r="Y25">
        <f>D25*Food_DB!$E$2+E25/100*Food_DB!$E$3+F25/30*Food_DB!$E$4+G25*Food_DB!$E$5+H25/100*Food_DB!$E$6+I25/100*Food_DB!$E$7+IFERROR(K25/100*VLOOKUP(J25,Food_DB!$A$2:$F$14,5,FALSE),0)+L25*Food_DB!$E$8</f>
        <v>68.599999999999994</v>
      </c>
      <c r="Z25">
        <f>D25*Food_DB!$F$2+E25/100*Food_DB!$F$3+F25/30*Food_DB!$F$4+G25*Food_DB!$F$5+H25/100*Food_DB!$F$6+I25/100*Food_DB!$F$7+IFERROR(K25/100*VLOOKUP(J25,Food_DB!$A$2:$F$14,6,FALSE),0)+L25*Food_DB!$F$8</f>
        <v>178.15</v>
      </c>
      <c r="AA25">
        <v>0</v>
      </c>
      <c r="AB25">
        <v>0</v>
      </c>
      <c r="AC25">
        <v>0</v>
      </c>
      <c r="AD25">
        <v>3.5</v>
      </c>
      <c r="AE25">
        <f>Dashboard!$B$6*AA25+Dashboard!$B$6*4*AB25/60+Dashboard!$B$6*8*AC25/120+Dashboard!$B$6*7*AD25</f>
        <v>1960</v>
      </c>
      <c r="AF25">
        <f>Dashboard!$B$5</f>
        <v>1700</v>
      </c>
      <c r="AG25">
        <f t="shared" si="2"/>
        <v>4000</v>
      </c>
      <c r="AH25">
        <f t="shared" si="3"/>
        <v>-2337.5</v>
      </c>
    </row>
    <row r="26" spans="1:34">
      <c r="A26">
        <v>46202</v>
      </c>
      <c r="B26" t="s">
        <v>88</v>
      </c>
      <c r="C26" t="s">
        <v>89</v>
      </c>
      <c r="D26">
        <v>2</v>
      </c>
      <c r="E26">
        <v>400</v>
      </c>
      <c r="F26">
        <v>30</v>
      </c>
      <c r="G26">
        <v>1</v>
      </c>
      <c r="H26">
        <v>150</v>
      </c>
      <c r="I26">
        <v>250</v>
      </c>
      <c r="J26" t="s">
        <v>82</v>
      </c>
      <c r="K26">
        <v>250</v>
      </c>
      <c r="L26">
        <v>3</v>
      </c>
      <c r="M26">
        <v>0</v>
      </c>
      <c r="N26">
        <f>D26*Food_DB!$C$2</f>
        <v>150</v>
      </c>
      <c r="O26">
        <f>E26/100*Food_DB!$C$3</f>
        <v>260</v>
      </c>
      <c r="P26">
        <f>F26/30*Food_DB!$C$4</f>
        <v>111</v>
      </c>
      <c r="Q26">
        <f>G26*Food_DB!$C$5</f>
        <v>222</v>
      </c>
      <c r="R26">
        <f>H26/100*Food_DB!$C$6</f>
        <v>12</v>
      </c>
      <c r="S26">
        <f>I26/100*Food_DB!$C$7</f>
        <v>62.5</v>
      </c>
      <c r="T26">
        <f>IFERROR(K26/100*VLOOKUP(J26,Food_DB!$A$2:$F$14,3,FALSE),0)</f>
        <v>550</v>
      </c>
      <c r="U26">
        <f>L26*Food_DB!$C$8</f>
        <v>270</v>
      </c>
      <c r="V26">
        <f t="shared" si="0"/>
        <v>0</v>
      </c>
      <c r="W26">
        <f t="shared" si="1"/>
        <v>1637.5</v>
      </c>
      <c r="X26">
        <f>D26*Food_DB!$D$2+E26/100*Food_DB!$D$3+F26/30*Food_DB!$D$4+G26*Food_DB!$D$5+H26/100*Food_DB!$D$6+I26/100*Food_DB!$D$7+IFERROR(K26/100*VLOOKUP(J26,Food_DB!$A$2:$F$14,4,FALSE),0)+L26*Food_DB!$D$8</f>
        <v>92.999999999999986</v>
      </c>
      <c r="Y26">
        <f>D26*Food_DB!$E$2+E26/100*Food_DB!$E$3+F26/30*Food_DB!$E$4+G26*Food_DB!$E$5+H26/100*Food_DB!$E$6+I26/100*Food_DB!$E$7+IFERROR(K26/100*VLOOKUP(J26,Food_DB!$A$2:$F$14,5,FALSE),0)+L26*Food_DB!$E$8</f>
        <v>63.6</v>
      </c>
      <c r="Z26">
        <f>D26*Food_DB!$F$2+E26/100*Food_DB!$F$3+F26/30*Food_DB!$F$4+G26*Food_DB!$F$5+H26/100*Food_DB!$F$6+I26/100*Food_DB!$F$7+IFERROR(K26/100*VLOOKUP(J26,Food_DB!$A$2:$F$14,6,FALSE),0)+L26*Food_DB!$F$8</f>
        <v>178.15</v>
      </c>
      <c r="AA26">
        <v>6.5</v>
      </c>
      <c r="AB26">
        <v>30</v>
      </c>
      <c r="AC26">
        <v>0</v>
      </c>
      <c r="AD26">
        <v>0</v>
      </c>
      <c r="AE26">
        <f>Dashboard!$B$6*AA26+Dashboard!$B$6*4*AB26/60+Dashboard!$B$6*8*AC26/120+Dashboard!$B$6*7*AD26</f>
        <v>680</v>
      </c>
      <c r="AF26">
        <f>Dashboard!$B$5</f>
        <v>1700</v>
      </c>
      <c r="AG26">
        <f t="shared" si="2"/>
        <v>2720</v>
      </c>
      <c r="AH26">
        <f t="shared" si="3"/>
        <v>-1082.5</v>
      </c>
    </row>
    <row r="27" spans="1:34">
      <c r="A27">
        <v>46203</v>
      </c>
      <c r="B27" t="s">
        <v>91</v>
      </c>
      <c r="C27" t="s">
        <v>89</v>
      </c>
      <c r="D27">
        <v>2</v>
      </c>
      <c r="E27">
        <v>400</v>
      </c>
      <c r="F27">
        <v>30</v>
      </c>
      <c r="G27">
        <v>1</v>
      </c>
      <c r="H27">
        <v>150</v>
      </c>
      <c r="I27">
        <v>250</v>
      </c>
      <c r="J27" t="s">
        <v>85</v>
      </c>
      <c r="K27">
        <v>250</v>
      </c>
      <c r="L27">
        <v>3</v>
      </c>
      <c r="M27">
        <v>0</v>
      </c>
      <c r="N27">
        <f>D27*Food_DB!$C$2</f>
        <v>150</v>
      </c>
      <c r="O27">
        <f>E27/100*Food_DB!$C$3</f>
        <v>260</v>
      </c>
      <c r="P27">
        <f>F27/30*Food_DB!$C$4</f>
        <v>111</v>
      </c>
      <c r="Q27">
        <f>G27*Food_DB!$C$5</f>
        <v>222</v>
      </c>
      <c r="R27">
        <f>H27/100*Food_DB!$C$6</f>
        <v>12</v>
      </c>
      <c r="S27">
        <f>I27/100*Food_DB!$C$7</f>
        <v>62.5</v>
      </c>
      <c r="T27">
        <f>IFERROR(K27/100*VLOOKUP(J27,Food_DB!$A$2:$F$14,3,FALSE),0)</f>
        <v>450</v>
      </c>
      <c r="U27">
        <f>L27*Food_DB!$C$8</f>
        <v>270</v>
      </c>
      <c r="V27">
        <f t="shared" si="0"/>
        <v>0</v>
      </c>
      <c r="W27">
        <f t="shared" si="1"/>
        <v>1537.5</v>
      </c>
      <c r="X27">
        <f>D27*Food_DB!$D$2+E27/100*Food_DB!$D$3+F27/30*Food_DB!$D$4+G27*Food_DB!$D$5+H27/100*Food_DB!$D$6+I27/100*Food_DB!$D$7+IFERROR(K27/100*VLOOKUP(J27,Food_DB!$A$2:$F$14,4,FALSE),0)+L27*Food_DB!$D$8</f>
        <v>92.999999999999986</v>
      </c>
      <c r="Y27">
        <f>D27*Food_DB!$E$2+E27/100*Food_DB!$E$3+F27/30*Food_DB!$E$4+G27*Food_DB!$E$5+H27/100*Food_DB!$E$6+I27/100*Food_DB!$E$7+IFERROR(K27/100*VLOOKUP(J27,Food_DB!$A$2:$F$14,5,FALSE),0)+L27*Food_DB!$E$8</f>
        <v>51.1</v>
      </c>
      <c r="Z27">
        <f>D27*Food_DB!$F$2+E27/100*Food_DB!$F$3+F27/30*Food_DB!$F$4+G27*Food_DB!$F$5+H27/100*Food_DB!$F$6+I27/100*Food_DB!$F$7+IFERROR(K27/100*VLOOKUP(J27,Food_DB!$A$2:$F$14,6,FALSE),0)+L27*Food_DB!$F$8</f>
        <v>178.15</v>
      </c>
      <c r="AA27">
        <v>6.5</v>
      </c>
      <c r="AB27">
        <v>30</v>
      </c>
      <c r="AC27">
        <v>0</v>
      </c>
      <c r="AD27">
        <v>0</v>
      </c>
      <c r="AE27">
        <f>Dashboard!$B$6*AA27+Dashboard!$B$6*4*AB27/60+Dashboard!$B$6*8*AC27/120+Dashboard!$B$6*7*AD27</f>
        <v>680</v>
      </c>
      <c r="AF27">
        <f>Dashboard!$B$5</f>
        <v>1700</v>
      </c>
      <c r="AG27">
        <f t="shared" si="2"/>
        <v>2720</v>
      </c>
      <c r="AH27">
        <f t="shared" si="3"/>
        <v>-1182.5</v>
      </c>
    </row>
    <row r="28" spans="1:34">
      <c r="A28">
        <v>46204</v>
      </c>
      <c r="B28" t="s">
        <v>92</v>
      </c>
      <c r="C28" t="s">
        <v>89</v>
      </c>
      <c r="D28">
        <v>2</v>
      </c>
      <c r="E28">
        <v>400</v>
      </c>
      <c r="F28">
        <v>30</v>
      </c>
      <c r="G28">
        <v>1</v>
      </c>
      <c r="H28">
        <v>150</v>
      </c>
      <c r="I28">
        <v>250</v>
      </c>
      <c r="J28" t="s">
        <v>87</v>
      </c>
      <c r="K28">
        <v>250</v>
      </c>
      <c r="L28">
        <v>3</v>
      </c>
      <c r="M28">
        <v>0</v>
      </c>
      <c r="N28">
        <f>D28*Food_DB!$C$2</f>
        <v>150</v>
      </c>
      <c r="O28">
        <f>E28/100*Food_DB!$C$3</f>
        <v>260</v>
      </c>
      <c r="P28">
        <f>F28/30*Food_DB!$C$4</f>
        <v>111</v>
      </c>
      <c r="Q28">
        <f>G28*Food_DB!$C$5</f>
        <v>222</v>
      </c>
      <c r="R28">
        <f>H28/100*Food_DB!$C$6</f>
        <v>12</v>
      </c>
      <c r="S28">
        <f>I28/100*Food_DB!$C$7</f>
        <v>62.5</v>
      </c>
      <c r="T28">
        <f>IFERROR(K28/100*VLOOKUP(J28,Food_DB!$A$2:$F$14,3,FALSE),0)</f>
        <v>300</v>
      </c>
      <c r="U28">
        <f>L28*Food_DB!$C$8</f>
        <v>270</v>
      </c>
      <c r="V28">
        <f t="shared" si="0"/>
        <v>0</v>
      </c>
      <c r="W28">
        <f t="shared" si="1"/>
        <v>1387.5</v>
      </c>
      <c r="X28">
        <f>D28*Food_DB!$D$2+E28/100*Food_DB!$D$3+F28/30*Food_DB!$D$4+G28*Food_DB!$D$5+H28/100*Food_DB!$D$6+I28/100*Food_DB!$D$7+IFERROR(K28/100*VLOOKUP(J28,Food_DB!$A$2:$F$14,4,FALSE),0)+L28*Food_DB!$D$8</f>
        <v>100.49999999999999</v>
      </c>
      <c r="Y28">
        <f>D28*Food_DB!$E$2+E28/100*Food_DB!$E$3+F28/30*Food_DB!$E$4+G28*Food_DB!$E$5+H28/100*Food_DB!$E$6+I28/100*Food_DB!$E$7+IFERROR(K28/100*VLOOKUP(J28,Food_DB!$A$2:$F$14,5,FALSE),0)+L28*Food_DB!$E$8</f>
        <v>32.35</v>
      </c>
      <c r="Z28">
        <f>D28*Food_DB!$F$2+E28/100*Food_DB!$F$3+F28/30*Food_DB!$F$4+G28*Food_DB!$F$5+H28/100*Food_DB!$F$6+I28/100*Food_DB!$F$7+IFERROR(K28/100*VLOOKUP(J28,Food_DB!$A$2:$F$14,6,FALSE),0)+L28*Food_DB!$F$8</f>
        <v>178.15</v>
      </c>
      <c r="AA28">
        <v>6.5</v>
      </c>
      <c r="AB28">
        <v>30</v>
      </c>
      <c r="AC28">
        <v>0</v>
      </c>
      <c r="AD28">
        <v>0</v>
      </c>
      <c r="AE28">
        <f>Dashboard!$B$6*AA28+Dashboard!$B$6*4*AB28/60+Dashboard!$B$6*8*AC28/120+Dashboard!$B$6*7*AD28</f>
        <v>680</v>
      </c>
      <c r="AF28">
        <f>Dashboard!$B$5</f>
        <v>1700</v>
      </c>
      <c r="AG28">
        <f t="shared" si="2"/>
        <v>2720</v>
      </c>
      <c r="AH28">
        <f t="shared" si="3"/>
        <v>-1332.5</v>
      </c>
    </row>
    <row r="29" spans="1:34">
      <c r="A29">
        <v>46205</v>
      </c>
      <c r="B29" t="s">
        <v>93</v>
      </c>
      <c r="C29" t="s">
        <v>89</v>
      </c>
      <c r="D29">
        <v>2</v>
      </c>
      <c r="E29">
        <v>400</v>
      </c>
      <c r="F29">
        <v>30</v>
      </c>
      <c r="G29">
        <v>1</v>
      </c>
      <c r="H29">
        <v>150</v>
      </c>
      <c r="I29">
        <v>250</v>
      </c>
      <c r="J29" t="s">
        <v>90</v>
      </c>
      <c r="K29">
        <v>250</v>
      </c>
      <c r="L29">
        <v>3</v>
      </c>
      <c r="M29">
        <v>0</v>
      </c>
      <c r="N29">
        <f>D29*Food_DB!$C$2</f>
        <v>150</v>
      </c>
      <c r="O29">
        <f>E29/100*Food_DB!$C$3</f>
        <v>260</v>
      </c>
      <c r="P29">
        <f>F29/30*Food_DB!$C$4</f>
        <v>111</v>
      </c>
      <c r="Q29">
        <f>G29*Food_DB!$C$5</f>
        <v>222</v>
      </c>
      <c r="R29">
        <f>H29/100*Food_DB!$C$6</f>
        <v>12</v>
      </c>
      <c r="S29">
        <f>I29/100*Food_DB!$C$7</f>
        <v>62.5</v>
      </c>
      <c r="T29">
        <f>IFERROR(K29/100*VLOOKUP(J29,Food_DB!$A$2:$F$14,3,FALSE),0)</f>
        <v>575</v>
      </c>
      <c r="U29">
        <f>L29*Food_DB!$C$8</f>
        <v>270</v>
      </c>
      <c r="V29">
        <f t="shared" si="0"/>
        <v>0</v>
      </c>
      <c r="W29">
        <f t="shared" si="1"/>
        <v>1662.5</v>
      </c>
      <c r="X29">
        <f>D29*Food_DB!$D$2+E29/100*Food_DB!$D$3+F29/30*Food_DB!$D$4+G29*Food_DB!$D$5+H29/100*Food_DB!$D$6+I29/100*Food_DB!$D$7+IFERROR(K29/100*VLOOKUP(J29,Food_DB!$A$2:$F$14,4,FALSE),0)+L29*Food_DB!$D$8</f>
        <v>87.999999999999986</v>
      </c>
      <c r="Y29">
        <f>D29*Food_DB!$E$2+E29/100*Food_DB!$E$3+F29/30*Food_DB!$E$4+G29*Food_DB!$E$5+H29/100*Food_DB!$E$6+I29/100*Food_DB!$E$7+IFERROR(K29/100*VLOOKUP(J29,Food_DB!$A$2:$F$14,5,FALSE),0)+L29*Food_DB!$E$8</f>
        <v>68.599999999999994</v>
      </c>
      <c r="Z29">
        <f>D29*Food_DB!$F$2+E29/100*Food_DB!$F$3+F29/30*Food_DB!$F$4+G29*Food_DB!$F$5+H29/100*Food_DB!$F$6+I29/100*Food_DB!$F$7+IFERROR(K29/100*VLOOKUP(J29,Food_DB!$A$2:$F$14,6,FALSE),0)+L29*Food_DB!$F$8</f>
        <v>178.15</v>
      </c>
      <c r="AA29">
        <v>6.5</v>
      </c>
      <c r="AB29">
        <v>30</v>
      </c>
      <c r="AC29">
        <v>0</v>
      </c>
      <c r="AD29">
        <v>0</v>
      </c>
      <c r="AE29">
        <f>Dashboard!$B$6*AA29+Dashboard!$B$6*4*AB29/60+Dashboard!$B$6*8*AC29/120+Dashboard!$B$6*7*AD29</f>
        <v>680</v>
      </c>
      <c r="AF29">
        <f>Dashboard!$B$5</f>
        <v>1700</v>
      </c>
      <c r="AG29">
        <f t="shared" si="2"/>
        <v>2720</v>
      </c>
      <c r="AH29">
        <f t="shared" si="3"/>
        <v>-1057.5</v>
      </c>
    </row>
    <row r="30" spans="1:34">
      <c r="A30">
        <v>46206</v>
      </c>
      <c r="B30" t="s">
        <v>80</v>
      </c>
      <c r="C30" t="s">
        <v>81</v>
      </c>
      <c r="D30">
        <v>2</v>
      </c>
      <c r="E30">
        <v>400</v>
      </c>
      <c r="F30">
        <v>30</v>
      </c>
      <c r="G30">
        <v>1</v>
      </c>
      <c r="H30">
        <v>150</v>
      </c>
      <c r="I30">
        <v>250</v>
      </c>
      <c r="J30" t="s">
        <v>82</v>
      </c>
      <c r="K30">
        <v>250</v>
      </c>
      <c r="L30">
        <v>3</v>
      </c>
      <c r="M30">
        <v>1000</v>
      </c>
      <c r="N30">
        <f>D30*Food_DB!$C$2</f>
        <v>150</v>
      </c>
      <c r="O30">
        <f>E30/100*Food_DB!$C$3</f>
        <v>260</v>
      </c>
      <c r="P30">
        <f>F30/30*Food_DB!$C$4</f>
        <v>111</v>
      </c>
      <c r="Q30">
        <f>G30*Food_DB!$C$5</f>
        <v>222</v>
      </c>
      <c r="R30">
        <f>H30/100*Food_DB!$C$6</f>
        <v>12</v>
      </c>
      <c r="S30">
        <f>I30/100*Food_DB!$C$7</f>
        <v>62.5</v>
      </c>
      <c r="T30">
        <f>IFERROR(K30/100*VLOOKUP(J30,Food_DB!$A$2:$F$14,3,FALSE),0)</f>
        <v>550</v>
      </c>
      <c r="U30">
        <f>L30*Food_DB!$C$8</f>
        <v>270</v>
      </c>
      <c r="V30">
        <f t="shared" si="0"/>
        <v>1000</v>
      </c>
      <c r="W30">
        <f t="shared" si="1"/>
        <v>2637.5</v>
      </c>
      <c r="X30">
        <f>D30*Food_DB!$D$2+E30/100*Food_DB!$D$3+F30/30*Food_DB!$D$4+G30*Food_DB!$D$5+H30/100*Food_DB!$D$6+I30/100*Food_DB!$D$7+IFERROR(K30/100*VLOOKUP(J30,Food_DB!$A$2:$F$14,4,FALSE),0)+L30*Food_DB!$D$8</f>
        <v>92.999999999999986</v>
      </c>
      <c r="Y30">
        <f>D30*Food_DB!$E$2+E30/100*Food_DB!$E$3+F30/30*Food_DB!$E$4+G30*Food_DB!$E$5+H30/100*Food_DB!$E$6+I30/100*Food_DB!$E$7+IFERROR(K30/100*VLOOKUP(J30,Food_DB!$A$2:$F$14,5,FALSE),0)+L30*Food_DB!$E$8</f>
        <v>63.6</v>
      </c>
      <c r="Z30">
        <f>D30*Food_DB!$F$2+E30/100*Food_DB!$F$3+F30/30*Food_DB!$F$4+G30*Food_DB!$F$5+H30/100*Food_DB!$F$6+I30/100*Food_DB!$F$7+IFERROR(K30/100*VLOOKUP(J30,Food_DB!$A$2:$F$14,6,FALSE),0)+L30*Food_DB!$F$8</f>
        <v>178.15</v>
      </c>
      <c r="AA30">
        <v>6.5</v>
      </c>
      <c r="AB30">
        <v>30</v>
      </c>
      <c r="AC30">
        <v>0</v>
      </c>
      <c r="AD30">
        <v>0</v>
      </c>
      <c r="AE30">
        <f>Dashboard!$B$6*AA30+Dashboard!$B$6*4*AB30/60+Dashboard!$B$6*8*AC30/120+Dashboard!$B$6*7*AD30</f>
        <v>680</v>
      </c>
      <c r="AF30">
        <f>Dashboard!$B$5</f>
        <v>1700</v>
      </c>
      <c r="AG30">
        <f t="shared" si="2"/>
        <v>2720</v>
      </c>
      <c r="AH30">
        <f t="shared" si="3"/>
        <v>-82.5</v>
      </c>
    </row>
    <row r="31" spans="1:34">
      <c r="A31">
        <v>46207</v>
      </c>
      <c r="B31" t="s">
        <v>83</v>
      </c>
      <c r="C31" t="s">
        <v>84</v>
      </c>
      <c r="D31">
        <v>2</v>
      </c>
      <c r="E31">
        <v>400</v>
      </c>
      <c r="F31">
        <v>30</v>
      </c>
      <c r="G31">
        <v>1</v>
      </c>
      <c r="H31">
        <v>150</v>
      </c>
      <c r="I31">
        <v>250</v>
      </c>
      <c r="J31" t="s">
        <v>85</v>
      </c>
      <c r="K31">
        <v>250</v>
      </c>
      <c r="L31">
        <v>3</v>
      </c>
      <c r="M31">
        <v>0</v>
      </c>
      <c r="N31">
        <f>D31*Food_DB!$C$2</f>
        <v>150</v>
      </c>
      <c r="O31">
        <f>E31/100*Food_DB!$C$3</f>
        <v>260</v>
      </c>
      <c r="P31">
        <f>F31/30*Food_DB!$C$4</f>
        <v>111</v>
      </c>
      <c r="Q31">
        <f>G31*Food_DB!$C$5</f>
        <v>222</v>
      </c>
      <c r="R31">
        <f>H31/100*Food_DB!$C$6</f>
        <v>12</v>
      </c>
      <c r="S31">
        <f>I31/100*Food_DB!$C$7</f>
        <v>62.5</v>
      </c>
      <c r="T31">
        <f>IFERROR(K31/100*VLOOKUP(J31,Food_DB!$A$2:$F$14,3,FALSE),0)</f>
        <v>450</v>
      </c>
      <c r="U31">
        <f>L31*Food_DB!$C$8</f>
        <v>270</v>
      </c>
      <c r="V31">
        <f t="shared" si="0"/>
        <v>0</v>
      </c>
      <c r="W31">
        <f t="shared" si="1"/>
        <v>1537.5</v>
      </c>
      <c r="X31">
        <f>D31*Food_DB!$D$2+E31/100*Food_DB!$D$3+F31/30*Food_DB!$D$4+G31*Food_DB!$D$5+H31/100*Food_DB!$D$6+I31/100*Food_DB!$D$7+IFERROR(K31/100*VLOOKUP(J31,Food_DB!$A$2:$F$14,4,FALSE),0)+L31*Food_DB!$D$8</f>
        <v>92.999999999999986</v>
      </c>
      <c r="Y31">
        <f>D31*Food_DB!$E$2+E31/100*Food_DB!$E$3+F31/30*Food_DB!$E$4+G31*Food_DB!$E$5+H31/100*Food_DB!$E$6+I31/100*Food_DB!$E$7+IFERROR(K31/100*VLOOKUP(J31,Food_DB!$A$2:$F$14,5,FALSE),0)+L31*Food_DB!$E$8</f>
        <v>51.1</v>
      </c>
      <c r="Z31">
        <f>D31*Food_DB!$F$2+E31/100*Food_DB!$F$3+F31/30*Food_DB!$F$4+G31*Food_DB!$F$5+H31/100*Food_DB!$F$6+I31/100*Food_DB!$F$7+IFERROR(K31/100*VLOOKUP(J31,Food_DB!$A$2:$F$14,6,FALSE),0)+L31*Food_DB!$F$8</f>
        <v>178.15</v>
      </c>
      <c r="AA31">
        <v>0</v>
      </c>
      <c r="AB31">
        <v>0</v>
      </c>
      <c r="AC31">
        <v>0</v>
      </c>
      <c r="AD31">
        <v>3.5</v>
      </c>
      <c r="AE31">
        <f>Dashboard!$B$6*AA31+Dashboard!$B$6*4*AB31/60+Dashboard!$B$6*8*AC31/120+Dashboard!$B$6*7*AD31</f>
        <v>1960</v>
      </c>
      <c r="AF31">
        <f>Dashboard!$B$5</f>
        <v>1700</v>
      </c>
      <c r="AG31">
        <f t="shared" si="2"/>
        <v>4000</v>
      </c>
      <c r="AH31">
        <f t="shared" si="3"/>
        <v>-2462.5</v>
      </c>
    </row>
    <row r="32" spans="1:34">
      <c r="A32">
        <v>46208</v>
      </c>
      <c r="B32" t="s">
        <v>86</v>
      </c>
      <c r="C32" t="s">
        <v>84</v>
      </c>
      <c r="D32">
        <v>2</v>
      </c>
      <c r="E32">
        <v>400</v>
      </c>
      <c r="F32">
        <v>30</v>
      </c>
      <c r="G32">
        <v>1</v>
      </c>
      <c r="H32">
        <v>150</v>
      </c>
      <c r="I32">
        <v>250</v>
      </c>
      <c r="J32" t="s">
        <v>87</v>
      </c>
      <c r="K32">
        <v>250</v>
      </c>
      <c r="L32">
        <v>3</v>
      </c>
      <c r="M32">
        <v>0</v>
      </c>
      <c r="N32">
        <f>D32*Food_DB!$C$2</f>
        <v>150</v>
      </c>
      <c r="O32">
        <f>E32/100*Food_DB!$C$3</f>
        <v>260</v>
      </c>
      <c r="P32">
        <f>F32/30*Food_DB!$C$4</f>
        <v>111</v>
      </c>
      <c r="Q32">
        <f>G32*Food_DB!$C$5</f>
        <v>222</v>
      </c>
      <c r="R32">
        <f>H32/100*Food_DB!$C$6</f>
        <v>12</v>
      </c>
      <c r="S32">
        <f>I32/100*Food_DB!$C$7</f>
        <v>62.5</v>
      </c>
      <c r="T32">
        <f>IFERROR(K32/100*VLOOKUP(J32,Food_DB!$A$2:$F$14,3,FALSE),0)</f>
        <v>300</v>
      </c>
      <c r="U32">
        <f>L32*Food_DB!$C$8</f>
        <v>270</v>
      </c>
      <c r="V32">
        <f t="shared" si="0"/>
        <v>0</v>
      </c>
      <c r="W32">
        <f t="shared" si="1"/>
        <v>1387.5</v>
      </c>
      <c r="X32">
        <f>D32*Food_DB!$D$2+E32/100*Food_DB!$D$3+F32/30*Food_DB!$D$4+G32*Food_DB!$D$5+H32/100*Food_DB!$D$6+I32/100*Food_DB!$D$7+IFERROR(K32/100*VLOOKUP(J32,Food_DB!$A$2:$F$14,4,FALSE),0)+L32*Food_DB!$D$8</f>
        <v>100.49999999999999</v>
      </c>
      <c r="Y32">
        <f>D32*Food_DB!$E$2+E32/100*Food_DB!$E$3+F32/30*Food_DB!$E$4+G32*Food_DB!$E$5+H32/100*Food_DB!$E$6+I32/100*Food_DB!$E$7+IFERROR(K32/100*VLOOKUP(J32,Food_DB!$A$2:$F$14,5,FALSE),0)+L32*Food_DB!$E$8</f>
        <v>32.35</v>
      </c>
      <c r="Z32">
        <f>D32*Food_DB!$F$2+E32/100*Food_DB!$F$3+F32/30*Food_DB!$F$4+G32*Food_DB!$F$5+H32/100*Food_DB!$F$6+I32/100*Food_DB!$F$7+IFERROR(K32/100*VLOOKUP(J32,Food_DB!$A$2:$F$14,6,FALSE),0)+L32*Food_DB!$F$8</f>
        <v>178.15</v>
      </c>
      <c r="AA32">
        <v>0</v>
      </c>
      <c r="AB32">
        <v>0</v>
      </c>
      <c r="AC32">
        <v>0</v>
      </c>
      <c r="AD32">
        <v>3.5</v>
      </c>
      <c r="AE32">
        <f>Dashboard!$B$6*AA32+Dashboard!$B$6*4*AB32/60+Dashboard!$B$6*8*AC32/120+Dashboard!$B$6*7*AD32</f>
        <v>1960</v>
      </c>
      <c r="AF32">
        <f>Dashboard!$B$5</f>
        <v>1700</v>
      </c>
      <c r="AG32">
        <f t="shared" si="2"/>
        <v>4000</v>
      </c>
      <c r="AH32">
        <f t="shared" si="3"/>
        <v>-2612.5</v>
      </c>
    </row>
    <row r="33" spans="1:34">
      <c r="A33">
        <v>46209</v>
      </c>
      <c r="B33" t="s">
        <v>88</v>
      </c>
      <c r="C33" t="s">
        <v>89</v>
      </c>
      <c r="D33">
        <v>2</v>
      </c>
      <c r="E33">
        <v>400</v>
      </c>
      <c r="F33">
        <v>30</v>
      </c>
      <c r="G33">
        <v>1</v>
      </c>
      <c r="H33">
        <v>150</v>
      </c>
      <c r="I33">
        <v>250</v>
      </c>
      <c r="J33" t="s">
        <v>90</v>
      </c>
      <c r="K33">
        <v>250</v>
      </c>
      <c r="L33">
        <v>3</v>
      </c>
      <c r="M33">
        <v>0</v>
      </c>
      <c r="N33">
        <f>D33*Food_DB!$C$2</f>
        <v>150</v>
      </c>
      <c r="O33">
        <f>E33/100*Food_DB!$C$3</f>
        <v>260</v>
      </c>
      <c r="P33">
        <f>F33/30*Food_DB!$C$4</f>
        <v>111</v>
      </c>
      <c r="Q33">
        <f>G33*Food_DB!$C$5</f>
        <v>222</v>
      </c>
      <c r="R33">
        <f>H33/100*Food_DB!$C$6</f>
        <v>12</v>
      </c>
      <c r="S33">
        <f>I33/100*Food_DB!$C$7</f>
        <v>62.5</v>
      </c>
      <c r="T33">
        <f>IFERROR(K33/100*VLOOKUP(J33,Food_DB!$A$2:$F$14,3,FALSE),0)</f>
        <v>575</v>
      </c>
      <c r="U33">
        <f>L33*Food_DB!$C$8</f>
        <v>270</v>
      </c>
      <c r="V33">
        <f t="shared" si="0"/>
        <v>0</v>
      </c>
      <c r="W33">
        <f t="shared" si="1"/>
        <v>1662.5</v>
      </c>
      <c r="X33">
        <f>D33*Food_DB!$D$2+E33/100*Food_DB!$D$3+F33/30*Food_DB!$D$4+G33*Food_DB!$D$5+H33/100*Food_DB!$D$6+I33/100*Food_DB!$D$7+IFERROR(K33/100*VLOOKUP(J33,Food_DB!$A$2:$F$14,4,FALSE),0)+L33*Food_DB!$D$8</f>
        <v>87.999999999999986</v>
      </c>
      <c r="Y33">
        <f>D33*Food_DB!$E$2+E33/100*Food_DB!$E$3+F33/30*Food_DB!$E$4+G33*Food_DB!$E$5+H33/100*Food_DB!$E$6+I33/100*Food_DB!$E$7+IFERROR(K33/100*VLOOKUP(J33,Food_DB!$A$2:$F$14,5,FALSE),0)+L33*Food_DB!$E$8</f>
        <v>68.599999999999994</v>
      </c>
      <c r="Z33">
        <f>D33*Food_DB!$F$2+E33/100*Food_DB!$F$3+F33/30*Food_DB!$F$4+G33*Food_DB!$F$5+H33/100*Food_DB!$F$6+I33/100*Food_DB!$F$7+IFERROR(K33/100*VLOOKUP(J33,Food_DB!$A$2:$F$14,6,FALSE),0)+L33*Food_DB!$F$8</f>
        <v>178.15</v>
      </c>
      <c r="AA33">
        <v>6.5</v>
      </c>
      <c r="AB33">
        <v>30</v>
      </c>
      <c r="AC33">
        <v>0</v>
      </c>
      <c r="AD33">
        <v>0</v>
      </c>
      <c r="AE33">
        <f>Dashboard!$B$6*AA33+Dashboard!$B$6*4*AB33/60+Dashboard!$B$6*8*AC33/120+Dashboard!$B$6*7*AD33</f>
        <v>680</v>
      </c>
      <c r="AF33">
        <f>Dashboard!$B$5</f>
        <v>1700</v>
      </c>
      <c r="AG33">
        <f t="shared" si="2"/>
        <v>2720</v>
      </c>
      <c r="AH33">
        <f t="shared" si="3"/>
        <v>-1057.5</v>
      </c>
    </row>
    <row r="34" spans="1:34">
      <c r="A34">
        <v>46210</v>
      </c>
      <c r="B34" t="s">
        <v>91</v>
      </c>
      <c r="C34" t="s">
        <v>89</v>
      </c>
      <c r="D34">
        <v>2</v>
      </c>
      <c r="E34">
        <v>400</v>
      </c>
      <c r="F34">
        <v>30</v>
      </c>
      <c r="G34">
        <v>1</v>
      </c>
      <c r="H34">
        <v>150</v>
      </c>
      <c r="I34">
        <v>250</v>
      </c>
      <c r="J34" t="s">
        <v>82</v>
      </c>
      <c r="K34">
        <v>250</v>
      </c>
      <c r="L34">
        <v>3</v>
      </c>
      <c r="M34">
        <v>0</v>
      </c>
      <c r="N34">
        <f>D34*Food_DB!$C$2</f>
        <v>150</v>
      </c>
      <c r="O34">
        <f>E34/100*Food_DB!$C$3</f>
        <v>260</v>
      </c>
      <c r="P34">
        <f>F34/30*Food_DB!$C$4</f>
        <v>111</v>
      </c>
      <c r="Q34">
        <f>G34*Food_DB!$C$5</f>
        <v>222</v>
      </c>
      <c r="R34">
        <f>H34/100*Food_DB!$C$6</f>
        <v>12</v>
      </c>
      <c r="S34">
        <f>I34/100*Food_DB!$C$7</f>
        <v>62.5</v>
      </c>
      <c r="T34">
        <f>IFERROR(K34/100*VLOOKUP(J34,Food_DB!$A$2:$F$14,3,FALSE),0)</f>
        <v>550</v>
      </c>
      <c r="U34">
        <f>L34*Food_DB!$C$8</f>
        <v>270</v>
      </c>
      <c r="V34">
        <f t="shared" si="0"/>
        <v>0</v>
      </c>
      <c r="W34">
        <f t="shared" si="1"/>
        <v>1637.5</v>
      </c>
      <c r="X34">
        <f>D34*Food_DB!$D$2+E34/100*Food_DB!$D$3+F34/30*Food_DB!$D$4+G34*Food_DB!$D$5+H34/100*Food_DB!$D$6+I34/100*Food_DB!$D$7+IFERROR(K34/100*VLOOKUP(J34,Food_DB!$A$2:$F$14,4,FALSE),0)+L34*Food_DB!$D$8</f>
        <v>92.999999999999986</v>
      </c>
      <c r="Y34">
        <f>D34*Food_DB!$E$2+E34/100*Food_DB!$E$3+F34/30*Food_DB!$E$4+G34*Food_DB!$E$5+H34/100*Food_DB!$E$6+I34/100*Food_DB!$E$7+IFERROR(K34/100*VLOOKUP(J34,Food_DB!$A$2:$F$14,5,FALSE),0)+L34*Food_DB!$E$8</f>
        <v>63.6</v>
      </c>
      <c r="Z34">
        <f>D34*Food_DB!$F$2+E34/100*Food_DB!$F$3+F34/30*Food_DB!$F$4+G34*Food_DB!$F$5+H34/100*Food_DB!$F$6+I34/100*Food_DB!$F$7+IFERROR(K34/100*VLOOKUP(J34,Food_DB!$A$2:$F$14,6,FALSE),0)+L34*Food_DB!$F$8</f>
        <v>178.15</v>
      </c>
      <c r="AA34">
        <v>6.5</v>
      </c>
      <c r="AB34">
        <v>30</v>
      </c>
      <c r="AC34">
        <v>0</v>
      </c>
      <c r="AD34">
        <v>0</v>
      </c>
      <c r="AE34">
        <f>Dashboard!$B$6*AA34+Dashboard!$B$6*4*AB34/60+Dashboard!$B$6*8*AC34/120+Dashboard!$B$6*7*AD34</f>
        <v>680</v>
      </c>
      <c r="AF34">
        <f>Dashboard!$B$5</f>
        <v>1700</v>
      </c>
      <c r="AG34">
        <f t="shared" si="2"/>
        <v>2720</v>
      </c>
      <c r="AH34">
        <f t="shared" si="3"/>
        <v>-1082.5</v>
      </c>
    </row>
    <row r="35" spans="1:34">
      <c r="A35">
        <v>46211</v>
      </c>
      <c r="B35" t="s">
        <v>92</v>
      </c>
      <c r="C35" t="s">
        <v>89</v>
      </c>
      <c r="D35">
        <v>2</v>
      </c>
      <c r="E35">
        <v>400</v>
      </c>
      <c r="F35">
        <v>30</v>
      </c>
      <c r="G35">
        <v>1</v>
      </c>
      <c r="H35">
        <v>150</v>
      </c>
      <c r="I35">
        <v>250</v>
      </c>
      <c r="J35" t="s">
        <v>85</v>
      </c>
      <c r="K35">
        <v>250</v>
      </c>
      <c r="L35">
        <v>3</v>
      </c>
      <c r="M35">
        <v>0</v>
      </c>
      <c r="N35">
        <f>D35*Food_DB!$C$2</f>
        <v>150</v>
      </c>
      <c r="O35">
        <f>E35/100*Food_DB!$C$3</f>
        <v>260</v>
      </c>
      <c r="P35">
        <f>F35/30*Food_DB!$C$4</f>
        <v>111</v>
      </c>
      <c r="Q35">
        <f>G35*Food_DB!$C$5</f>
        <v>222</v>
      </c>
      <c r="R35">
        <f>H35/100*Food_DB!$C$6</f>
        <v>12</v>
      </c>
      <c r="S35">
        <f>I35/100*Food_DB!$C$7</f>
        <v>62.5</v>
      </c>
      <c r="T35">
        <f>IFERROR(K35/100*VLOOKUP(J35,Food_DB!$A$2:$F$14,3,FALSE),0)</f>
        <v>450</v>
      </c>
      <c r="U35">
        <f>L35*Food_DB!$C$8</f>
        <v>270</v>
      </c>
      <c r="V35">
        <f t="shared" si="0"/>
        <v>0</v>
      </c>
      <c r="W35">
        <f t="shared" si="1"/>
        <v>1537.5</v>
      </c>
      <c r="X35">
        <f>D35*Food_DB!$D$2+E35/100*Food_DB!$D$3+F35/30*Food_DB!$D$4+G35*Food_DB!$D$5+H35/100*Food_DB!$D$6+I35/100*Food_DB!$D$7+IFERROR(K35/100*VLOOKUP(J35,Food_DB!$A$2:$F$14,4,FALSE),0)+L35*Food_DB!$D$8</f>
        <v>92.999999999999986</v>
      </c>
      <c r="Y35">
        <f>D35*Food_DB!$E$2+E35/100*Food_DB!$E$3+F35/30*Food_DB!$E$4+G35*Food_DB!$E$5+H35/100*Food_DB!$E$6+I35/100*Food_DB!$E$7+IFERROR(K35/100*VLOOKUP(J35,Food_DB!$A$2:$F$14,5,FALSE),0)+L35*Food_DB!$E$8</f>
        <v>51.1</v>
      </c>
      <c r="Z35">
        <f>D35*Food_DB!$F$2+E35/100*Food_DB!$F$3+F35/30*Food_DB!$F$4+G35*Food_DB!$F$5+H35/100*Food_DB!$F$6+I35/100*Food_DB!$F$7+IFERROR(K35/100*VLOOKUP(J35,Food_DB!$A$2:$F$14,6,FALSE),0)+L35*Food_DB!$F$8</f>
        <v>178.15</v>
      </c>
      <c r="AA35">
        <v>6.5</v>
      </c>
      <c r="AB35">
        <v>30</v>
      </c>
      <c r="AC35">
        <v>0</v>
      </c>
      <c r="AD35">
        <v>0</v>
      </c>
      <c r="AE35">
        <f>Dashboard!$B$6*AA35+Dashboard!$B$6*4*AB35/60+Dashboard!$B$6*8*AC35/120+Dashboard!$B$6*7*AD35</f>
        <v>680</v>
      </c>
      <c r="AF35">
        <f>Dashboard!$B$5</f>
        <v>1700</v>
      </c>
      <c r="AG35">
        <f t="shared" si="2"/>
        <v>2720</v>
      </c>
      <c r="AH35">
        <f t="shared" si="3"/>
        <v>-1182.5</v>
      </c>
    </row>
    <row r="36" spans="1:34">
      <c r="A36">
        <v>46212</v>
      </c>
      <c r="B36" t="s">
        <v>93</v>
      </c>
      <c r="C36" t="s">
        <v>89</v>
      </c>
      <c r="D36">
        <v>2</v>
      </c>
      <c r="E36">
        <v>400</v>
      </c>
      <c r="F36">
        <v>30</v>
      </c>
      <c r="G36">
        <v>1</v>
      </c>
      <c r="H36">
        <v>150</v>
      </c>
      <c r="I36">
        <v>250</v>
      </c>
      <c r="J36" t="s">
        <v>87</v>
      </c>
      <c r="K36">
        <v>250</v>
      </c>
      <c r="L36">
        <v>3</v>
      </c>
      <c r="M36">
        <v>0</v>
      </c>
      <c r="N36">
        <f>D36*Food_DB!$C$2</f>
        <v>150</v>
      </c>
      <c r="O36">
        <f>E36/100*Food_DB!$C$3</f>
        <v>260</v>
      </c>
      <c r="P36">
        <f>F36/30*Food_DB!$C$4</f>
        <v>111</v>
      </c>
      <c r="Q36">
        <f>G36*Food_DB!$C$5</f>
        <v>222</v>
      </c>
      <c r="R36">
        <f>H36/100*Food_DB!$C$6</f>
        <v>12</v>
      </c>
      <c r="S36">
        <f>I36/100*Food_DB!$C$7</f>
        <v>62.5</v>
      </c>
      <c r="T36">
        <f>IFERROR(K36/100*VLOOKUP(J36,Food_DB!$A$2:$F$14,3,FALSE),0)</f>
        <v>300</v>
      </c>
      <c r="U36">
        <f>L36*Food_DB!$C$8</f>
        <v>270</v>
      </c>
      <c r="V36">
        <f t="shared" si="0"/>
        <v>0</v>
      </c>
      <c r="W36">
        <f t="shared" si="1"/>
        <v>1387.5</v>
      </c>
      <c r="X36">
        <f>D36*Food_DB!$D$2+E36/100*Food_DB!$D$3+F36/30*Food_DB!$D$4+G36*Food_DB!$D$5+H36/100*Food_DB!$D$6+I36/100*Food_DB!$D$7+IFERROR(K36/100*VLOOKUP(J36,Food_DB!$A$2:$F$14,4,FALSE),0)+L36*Food_DB!$D$8</f>
        <v>100.49999999999999</v>
      </c>
      <c r="Y36">
        <f>D36*Food_DB!$E$2+E36/100*Food_DB!$E$3+F36/30*Food_DB!$E$4+G36*Food_DB!$E$5+H36/100*Food_DB!$E$6+I36/100*Food_DB!$E$7+IFERROR(K36/100*VLOOKUP(J36,Food_DB!$A$2:$F$14,5,FALSE),0)+L36*Food_DB!$E$8</f>
        <v>32.35</v>
      </c>
      <c r="Z36">
        <f>D36*Food_DB!$F$2+E36/100*Food_DB!$F$3+F36/30*Food_DB!$F$4+G36*Food_DB!$F$5+H36/100*Food_DB!$F$6+I36/100*Food_DB!$F$7+IFERROR(K36/100*VLOOKUP(J36,Food_DB!$A$2:$F$14,6,FALSE),0)+L36*Food_DB!$F$8</f>
        <v>178.15</v>
      </c>
      <c r="AA36">
        <v>6.5</v>
      </c>
      <c r="AB36">
        <v>30</v>
      </c>
      <c r="AC36">
        <v>0</v>
      </c>
      <c r="AD36">
        <v>0</v>
      </c>
      <c r="AE36">
        <f>Dashboard!$B$6*AA36+Dashboard!$B$6*4*AB36/60+Dashboard!$B$6*8*AC36/120+Dashboard!$B$6*7*AD36</f>
        <v>680</v>
      </c>
      <c r="AF36">
        <f>Dashboard!$B$5</f>
        <v>1700</v>
      </c>
      <c r="AG36">
        <f t="shared" si="2"/>
        <v>2720</v>
      </c>
      <c r="AH36">
        <f t="shared" si="3"/>
        <v>-1332.5</v>
      </c>
    </row>
    <row r="37" spans="1:34">
      <c r="A37">
        <v>46213</v>
      </c>
      <c r="B37" t="s">
        <v>80</v>
      </c>
      <c r="C37" t="s">
        <v>81</v>
      </c>
      <c r="D37">
        <v>2</v>
      </c>
      <c r="E37">
        <v>400</v>
      </c>
      <c r="F37">
        <v>30</v>
      </c>
      <c r="G37">
        <v>1</v>
      </c>
      <c r="H37">
        <v>150</v>
      </c>
      <c r="I37">
        <v>250</v>
      </c>
      <c r="J37" t="s">
        <v>90</v>
      </c>
      <c r="K37">
        <v>250</v>
      </c>
      <c r="L37">
        <v>3</v>
      </c>
      <c r="M37">
        <v>1000</v>
      </c>
      <c r="N37">
        <f>D37*Food_DB!$C$2</f>
        <v>150</v>
      </c>
      <c r="O37">
        <f>E37/100*Food_DB!$C$3</f>
        <v>260</v>
      </c>
      <c r="P37">
        <f>F37/30*Food_DB!$C$4</f>
        <v>111</v>
      </c>
      <c r="Q37">
        <f>G37*Food_DB!$C$5</f>
        <v>222</v>
      </c>
      <c r="R37">
        <f>H37/100*Food_DB!$C$6</f>
        <v>12</v>
      </c>
      <c r="S37">
        <f>I37/100*Food_DB!$C$7</f>
        <v>62.5</v>
      </c>
      <c r="T37">
        <f>IFERROR(K37/100*VLOOKUP(J37,Food_DB!$A$2:$F$14,3,FALSE),0)</f>
        <v>575</v>
      </c>
      <c r="U37">
        <f>L37*Food_DB!$C$8</f>
        <v>270</v>
      </c>
      <c r="V37">
        <f t="shared" si="0"/>
        <v>1000</v>
      </c>
      <c r="W37">
        <f t="shared" si="1"/>
        <v>2662.5</v>
      </c>
      <c r="X37">
        <f>D37*Food_DB!$D$2+E37/100*Food_DB!$D$3+F37/30*Food_DB!$D$4+G37*Food_DB!$D$5+H37/100*Food_DB!$D$6+I37/100*Food_DB!$D$7+IFERROR(K37/100*VLOOKUP(J37,Food_DB!$A$2:$F$14,4,FALSE),0)+L37*Food_DB!$D$8</f>
        <v>87.999999999999986</v>
      </c>
      <c r="Y37">
        <f>D37*Food_DB!$E$2+E37/100*Food_DB!$E$3+F37/30*Food_DB!$E$4+G37*Food_DB!$E$5+H37/100*Food_DB!$E$6+I37/100*Food_DB!$E$7+IFERROR(K37/100*VLOOKUP(J37,Food_DB!$A$2:$F$14,5,FALSE),0)+L37*Food_DB!$E$8</f>
        <v>68.599999999999994</v>
      </c>
      <c r="Z37">
        <f>D37*Food_DB!$F$2+E37/100*Food_DB!$F$3+F37/30*Food_DB!$F$4+G37*Food_DB!$F$5+H37/100*Food_DB!$F$6+I37/100*Food_DB!$F$7+IFERROR(K37/100*VLOOKUP(J37,Food_DB!$A$2:$F$14,6,FALSE),0)+L37*Food_DB!$F$8</f>
        <v>178.15</v>
      </c>
      <c r="AA37">
        <v>6.5</v>
      </c>
      <c r="AB37">
        <v>30</v>
      </c>
      <c r="AC37">
        <v>0</v>
      </c>
      <c r="AD37">
        <v>0</v>
      </c>
      <c r="AE37">
        <f>Dashboard!$B$6*AA37+Dashboard!$B$6*4*AB37/60+Dashboard!$B$6*8*AC37/120+Dashboard!$B$6*7*AD37</f>
        <v>680</v>
      </c>
      <c r="AF37">
        <f>Dashboard!$B$5</f>
        <v>1700</v>
      </c>
      <c r="AG37">
        <f t="shared" si="2"/>
        <v>2720</v>
      </c>
      <c r="AH37">
        <f t="shared" si="3"/>
        <v>-57.5</v>
      </c>
    </row>
    <row r="38" spans="1:34">
      <c r="A38">
        <v>46214</v>
      </c>
      <c r="B38" t="s">
        <v>83</v>
      </c>
      <c r="C38" t="s">
        <v>84</v>
      </c>
      <c r="D38">
        <v>2</v>
      </c>
      <c r="E38">
        <v>400</v>
      </c>
      <c r="F38">
        <v>30</v>
      </c>
      <c r="G38">
        <v>1</v>
      </c>
      <c r="H38">
        <v>150</v>
      </c>
      <c r="I38">
        <v>250</v>
      </c>
      <c r="J38" t="s">
        <v>82</v>
      </c>
      <c r="K38">
        <v>250</v>
      </c>
      <c r="L38">
        <v>3</v>
      </c>
      <c r="M38">
        <v>0</v>
      </c>
      <c r="N38">
        <f>D38*Food_DB!$C$2</f>
        <v>150</v>
      </c>
      <c r="O38">
        <f>E38/100*Food_DB!$C$3</f>
        <v>260</v>
      </c>
      <c r="P38">
        <f>F38/30*Food_DB!$C$4</f>
        <v>111</v>
      </c>
      <c r="Q38">
        <f>G38*Food_DB!$C$5</f>
        <v>222</v>
      </c>
      <c r="R38">
        <f>H38/100*Food_DB!$C$6</f>
        <v>12</v>
      </c>
      <c r="S38">
        <f>I38/100*Food_DB!$C$7</f>
        <v>62.5</v>
      </c>
      <c r="T38">
        <f>IFERROR(K38/100*VLOOKUP(J38,Food_DB!$A$2:$F$14,3,FALSE),0)</f>
        <v>550</v>
      </c>
      <c r="U38">
        <f>L38*Food_DB!$C$8</f>
        <v>270</v>
      </c>
      <c r="V38">
        <f t="shared" si="0"/>
        <v>0</v>
      </c>
      <c r="W38">
        <f t="shared" si="1"/>
        <v>1637.5</v>
      </c>
      <c r="X38">
        <f>D38*Food_DB!$D$2+E38/100*Food_DB!$D$3+F38/30*Food_DB!$D$4+G38*Food_DB!$D$5+H38/100*Food_DB!$D$6+I38/100*Food_DB!$D$7+IFERROR(K38/100*VLOOKUP(J38,Food_DB!$A$2:$F$14,4,FALSE),0)+L38*Food_DB!$D$8</f>
        <v>92.999999999999986</v>
      </c>
      <c r="Y38">
        <f>D38*Food_DB!$E$2+E38/100*Food_DB!$E$3+F38/30*Food_DB!$E$4+G38*Food_DB!$E$5+H38/100*Food_DB!$E$6+I38/100*Food_DB!$E$7+IFERROR(K38/100*VLOOKUP(J38,Food_DB!$A$2:$F$14,5,FALSE),0)+L38*Food_DB!$E$8</f>
        <v>63.6</v>
      </c>
      <c r="Z38">
        <f>D38*Food_DB!$F$2+E38/100*Food_DB!$F$3+F38/30*Food_DB!$F$4+G38*Food_DB!$F$5+H38/100*Food_DB!$F$6+I38/100*Food_DB!$F$7+IFERROR(K38/100*VLOOKUP(J38,Food_DB!$A$2:$F$14,6,FALSE),0)+L38*Food_DB!$F$8</f>
        <v>178.15</v>
      </c>
      <c r="AA38">
        <v>0</v>
      </c>
      <c r="AB38">
        <v>0</v>
      </c>
      <c r="AC38">
        <v>0</v>
      </c>
      <c r="AD38">
        <v>3.5</v>
      </c>
      <c r="AE38">
        <f>Dashboard!$B$6*AA38+Dashboard!$B$6*4*AB38/60+Dashboard!$B$6*8*AC38/120+Dashboard!$B$6*7*AD38</f>
        <v>1960</v>
      </c>
      <c r="AF38">
        <f>Dashboard!$B$5</f>
        <v>1700</v>
      </c>
      <c r="AG38">
        <f t="shared" si="2"/>
        <v>4000</v>
      </c>
      <c r="AH38">
        <f t="shared" si="3"/>
        <v>-2362.5</v>
      </c>
    </row>
    <row r="39" spans="1:34">
      <c r="A39">
        <v>46215</v>
      </c>
      <c r="B39" t="s">
        <v>86</v>
      </c>
      <c r="C39" t="s">
        <v>84</v>
      </c>
      <c r="D39">
        <v>2</v>
      </c>
      <c r="E39">
        <v>400</v>
      </c>
      <c r="F39">
        <v>30</v>
      </c>
      <c r="G39">
        <v>1</v>
      </c>
      <c r="H39">
        <v>150</v>
      </c>
      <c r="I39">
        <v>250</v>
      </c>
      <c r="J39" t="s">
        <v>85</v>
      </c>
      <c r="K39">
        <v>250</v>
      </c>
      <c r="L39">
        <v>3</v>
      </c>
      <c r="M39">
        <v>0</v>
      </c>
      <c r="N39">
        <f>D39*Food_DB!$C$2</f>
        <v>150</v>
      </c>
      <c r="O39">
        <f>E39/100*Food_DB!$C$3</f>
        <v>260</v>
      </c>
      <c r="P39">
        <f>F39/30*Food_DB!$C$4</f>
        <v>111</v>
      </c>
      <c r="Q39">
        <f>G39*Food_DB!$C$5</f>
        <v>222</v>
      </c>
      <c r="R39">
        <f>H39/100*Food_DB!$C$6</f>
        <v>12</v>
      </c>
      <c r="S39">
        <f>I39/100*Food_DB!$C$7</f>
        <v>62.5</v>
      </c>
      <c r="T39">
        <f>IFERROR(K39/100*VLOOKUP(J39,Food_DB!$A$2:$F$14,3,FALSE),0)</f>
        <v>450</v>
      </c>
      <c r="U39">
        <f>L39*Food_DB!$C$8</f>
        <v>270</v>
      </c>
      <c r="V39">
        <f t="shared" si="0"/>
        <v>0</v>
      </c>
      <c r="W39">
        <f t="shared" si="1"/>
        <v>1537.5</v>
      </c>
      <c r="X39">
        <f>D39*Food_DB!$D$2+E39/100*Food_DB!$D$3+F39/30*Food_DB!$D$4+G39*Food_DB!$D$5+H39/100*Food_DB!$D$6+I39/100*Food_DB!$D$7+IFERROR(K39/100*VLOOKUP(J39,Food_DB!$A$2:$F$14,4,FALSE),0)+L39*Food_DB!$D$8</f>
        <v>92.999999999999986</v>
      </c>
      <c r="Y39">
        <f>D39*Food_DB!$E$2+E39/100*Food_DB!$E$3+F39/30*Food_DB!$E$4+G39*Food_DB!$E$5+H39/100*Food_DB!$E$6+I39/100*Food_DB!$E$7+IFERROR(K39/100*VLOOKUP(J39,Food_DB!$A$2:$F$14,5,FALSE),0)+L39*Food_DB!$E$8</f>
        <v>51.1</v>
      </c>
      <c r="Z39">
        <f>D39*Food_DB!$F$2+E39/100*Food_DB!$F$3+F39/30*Food_DB!$F$4+G39*Food_DB!$F$5+H39/100*Food_DB!$F$6+I39/100*Food_DB!$F$7+IFERROR(K39/100*VLOOKUP(J39,Food_DB!$A$2:$F$14,6,FALSE),0)+L39*Food_DB!$F$8</f>
        <v>178.15</v>
      </c>
      <c r="AA39">
        <v>0</v>
      </c>
      <c r="AB39">
        <v>0</v>
      </c>
      <c r="AC39">
        <v>0</v>
      </c>
      <c r="AD39">
        <v>3.5</v>
      </c>
      <c r="AE39">
        <f>Dashboard!$B$6*AA39+Dashboard!$B$6*4*AB39/60+Dashboard!$B$6*8*AC39/120+Dashboard!$B$6*7*AD39</f>
        <v>1960</v>
      </c>
      <c r="AF39">
        <f>Dashboard!$B$5</f>
        <v>1700</v>
      </c>
      <c r="AG39">
        <f t="shared" si="2"/>
        <v>4000</v>
      </c>
      <c r="AH39">
        <f t="shared" si="3"/>
        <v>-2462.5</v>
      </c>
    </row>
    <row r="40" spans="1:34">
      <c r="A40">
        <v>46216</v>
      </c>
      <c r="B40" t="s">
        <v>88</v>
      </c>
      <c r="C40" t="s">
        <v>89</v>
      </c>
      <c r="D40">
        <v>2</v>
      </c>
      <c r="E40">
        <v>400</v>
      </c>
      <c r="F40">
        <v>30</v>
      </c>
      <c r="G40">
        <v>1</v>
      </c>
      <c r="H40">
        <v>150</v>
      </c>
      <c r="I40">
        <v>250</v>
      </c>
      <c r="J40" t="s">
        <v>87</v>
      </c>
      <c r="K40">
        <v>250</v>
      </c>
      <c r="L40">
        <v>3</v>
      </c>
      <c r="M40">
        <v>0</v>
      </c>
      <c r="N40">
        <f>D40*Food_DB!$C$2</f>
        <v>150</v>
      </c>
      <c r="O40">
        <f>E40/100*Food_DB!$C$3</f>
        <v>260</v>
      </c>
      <c r="P40">
        <f>F40/30*Food_DB!$C$4</f>
        <v>111</v>
      </c>
      <c r="Q40">
        <f>G40*Food_DB!$C$5</f>
        <v>222</v>
      </c>
      <c r="R40">
        <f>H40/100*Food_DB!$C$6</f>
        <v>12</v>
      </c>
      <c r="S40">
        <f>I40/100*Food_DB!$C$7</f>
        <v>62.5</v>
      </c>
      <c r="T40">
        <f>IFERROR(K40/100*VLOOKUP(J40,Food_DB!$A$2:$F$14,3,FALSE),0)</f>
        <v>300</v>
      </c>
      <c r="U40">
        <f>L40*Food_DB!$C$8</f>
        <v>270</v>
      </c>
      <c r="V40">
        <f t="shared" si="0"/>
        <v>0</v>
      </c>
      <c r="W40">
        <f t="shared" si="1"/>
        <v>1387.5</v>
      </c>
      <c r="X40">
        <f>D40*Food_DB!$D$2+E40/100*Food_DB!$D$3+F40/30*Food_DB!$D$4+G40*Food_DB!$D$5+H40/100*Food_DB!$D$6+I40/100*Food_DB!$D$7+IFERROR(K40/100*VLOOKUP(J40,Food_DB!$A$2:$F$14,4,FALSE),0)+L40*Food_DB!$D$8</f>
        <v>100.49999999999999</v>
      </c>
      <c r="Y40">
        <f>D40*Food_DB!$E$2+E40/100*Food_DB!$E$3+F40/30*Food_DB!$E$4+G40*Food_DB!$E$5+H40/100*Food_DB!$E$6+I40/100*Food_DB!$E$7+IFERROR(K40/100*VLOOKUP(J40,Food_DB!$A$2:$F$14,5,FALSE),0)+L40*Food_DB!$E$8</f>
        <v>32.35</v>
      </c>
      <c r="Z40">
        <f>D40*Food_DB!$F$2+E40/100*Food_DB!$F$3+F40/30*Food_DB!$F$4+G40*Food_DB!$F$5+H40/100*Food_DB!$F$6+I40/100*Food_DB!$F$7+IFERROR(K40/100*VLOOKUP(J40,Food_DB!$A$2:$F$14,6,FALSE),0)+L40*Food_DB!$F$8</f>
        <v>178.15</v>
      </c>
      <c r="AA40">
        <v>6.5</v>
      </c>
      <c r="AB40">
        <v>30</v>
      </c>
      <c r="AC40">
        <v>0</v>
      </c>
      <c r="AD40">
        <v>0</v>
      </c>
      <c r="AE40">
        <f>Dashboard!$B$6*AA40+Dashboard!$B$6*4*AB40/60+Dashboard!$B$6*8*AC40/120+Dashboard!$B$6*7*AD40</f>
        <v>680</v>
      </c>
      <c r="AF40">
        <f>Dashboard!$B$5</f>
        <v>1700</v>
      </c>
      <c r="AG40">
        <f t="shared" si="2"/>
        <v>2720</v>
      </c>
      <c r="AH40">
        <f t="shared" si="3"/>
        <v>-1332.5</v>
      </c>
    </row>
    <row r="41" spans="1:34">
      <c r="A41">
        <v>46217</v>
      </c>
      <c r="B41" t="s">
        <v>91</v>
      </c>
      <c r="C41" t="s">
        <v>89</v>
      </c>
      <c r="D41">
        <v>2</v>
      </c>
      <c r="E41">
        <v>400</v>
      </c>
      <c r="F41">
        <v>30</v>
      </c>
      <c r="G41">
        <v>1</v>
      </c>
      <c r="H41">
        <v>150</v>
      </c>
      <c r="I41">
        <v>250</v>
      </c>
      <c r="J41" t="s">
        <v>90</v>
      </c>
      <c r="K41">
        <v>250</v>
      </c>
      <c r="L41">
        <v>3</v>
      </c>
      <c r="M41">
        <v>0</v>
      </c>
      <c r="N41">
        <f>D41*Food_DB!$C$2</f>
        <v>150</v>
      </c>
      <c r="O41">
        <f>E41/100*Food_DB!$C$3</f>
        <v>260</v>
      </c>
      <c r="P41">
        <f>F41/30*Food_DB!$C$4</f>
        <v>111</v>
      </c>
      <c r="Q41">
        <f>G41*Food_DB!$C$5</f>
        <v>222</v>
      </c>
      <c r="R41">
        <f>H41/100*Food_DB!$C$6</f>
        <v>12</v>
      </c>
      <c r="S41">
        <f>I41/100*Food_DB!$C$7</f>
        <v>62.5</v>
      </c>
      <c r="T41">
        <f>IFERROR(K41/100*VLOOKUP(J41,Food_DB!$A$2:$F$14,3,FALSE),0)</f>
        <v>575</v>
      </c>
      <c r="U41">
        <f>L41*Food_DB!$C$8</f>
        <v>270</v>
      </c>
      <c r="V41">
        <f t="shared" si="0"/>
        <v>0</v>
      </c>
      <c r="W41">
        <f t="shared" si="1"/>
        <v>1662.5</v>
      </c>
      <c r="X41">
        <f>D41*Food_DB!$D$2+E41/100*Food_DB!$D$3+F41/30*Food_DB!$D$4+G41*Food_DB!$D$5+H41/100*Food_DB!$D$6+I41/100*Food_DB!$D$7+IFERROR(K41/100*VLOOKUP(J41,Food_DB!$A$2:$F$14,4,FALSE),0)+L41*Food_DB!$D$8</f>
        <v>87.999999999999986</v>
      </c>
      <c r="Y41">
        <f>D41*Food_DB!$E$2+E41/100*Food_DB!$E$3+F41/30*Food_DB!$E$4+G41*Food_DB!$E$5+H41/100*Food_DB!$E$6+I41/100*Food_DB!$E$7+IFERROR(K41/100*VLOOKUP(J41,Food_DB!$A$2:$F$14,5,FALSE),0)+L41*Food_DB!$E$8</f>
        <v>68.599999999999994</v>
      </c>
      <c r="Z41">
        <f>D41*Food_DB!$F$2+E41/100*Food_DB!$F$3+F41/30*Food_DB!$F$4+G41*Food_DB!$F$5+H41/100*Food_DB!$F$6+I41/100*Food_DB!$F$7+IFERROR(K41/100*VLOOKUP(J41,Food_DB!$A$2:$F$14,6,FALSE),0)+L41*Food_DB!$F$8</f>
        <v>178.15</v>
      </c>
      <c r="AA41">
        <v>6.5</v>
      </c>
      <c r="AB41">
        <v>30</v>
      </c>
      <c r="AC41">
        <v>0</v>
      </c>
      <c r="AD41">
        <v>0</v>
      </c>
      <c r="AE41">
        <f>Dashboard!$B$6*AA41+Dashboard!$B$6*4*AB41/60+Dashboard!$B$6*8*AC41/120+Dashboard!$B$6*7*AD41</f>
        <v>680</v>
      </c>
      <c r="AF41">
        <f>Dashboard!$B$5</f>
        <v>1700</v>
      </c>
      <c r="AG41">
        <f t="shared" si="2"/>
        <v>2720</v>
      </c>
      <c r="AH41">
        <f t="shared" si="3"/>
        <v>-1057.5</v>
      </c>
    </row>
    <row r="42" spans="1:34">
      <c r="A42">
        <v>46218</v>
      </c>
      <c r="B42" t="s">
        <v>92</v>
      </c>
      <c r="C42" t="s">
        <v>89</v>
      </c>
      <c r="D42">
        <v>2</v>
      </c>
      <c r="E42">
        <v>400</v>
      </c>
      <c r="F42">
        <v>30</v>
      </c>
      <c r="G42">
        <v>1</v>
      </c>
      <c r="H42">
        <v>150</v>
      </c>
      <c r="I42">
        <v>250</v>
      </c>
      <c r="J42" t="s">
        <v>82</v>
      </c>
      <c r="K42">
        <v>250</v>
      </c>
      <c r="L42">
        <v>3</v>
      </c>
      <c r="M42">
        <v>0</v>
      </c>
      <c r="N42">
        <f>D42*Food_DB!$C$2</f>
        <v>150</v>
      </c>
      <c r="O42">
        <f>E42/100*Food_DB!$C$3</f>
        <v>260</v>
      </c>
      <c r="P42">
        <f>F42/30*Food_DB!$C$4</f>
        <v>111</v>
      </c>
      <c r="Q42">
        <f>G42*Food_DB!$C$5</f>
        <v>222</v>
      </c>
      <c r="R42">
        <f>H42/100*Food_DB!$C$6</f>
        <v>12</v>
      </c>
      <c r="S42">
        <f>I42/100*Food_DB!$C$7</f>
        <v>62.5</v>
      </c>
      <c r="T42">
        <f>IFERROR(K42/100*VLOOKUP(J42,Food_DB!$A$2:$F$14,3,FALSE),0)</f>
        <v>550</v>
      </c>
      <c r="U42">
        <f>L42*Food_DB!$C$8</f>
        <v>270</v>
      </c>
      <c r="V42">
        <f t="shared" si="0"/>
        <v>0</v>
      </c>
      <c r="W42">
        <f t="shared" si="1"/>
        <v>1637.5</v>
      </c>
      <c r="X42">
        <f>D42*Food_DB!$D$2+E42/100*Food_DB!$D$3+F42/30*Food_DB!$D$4+G42*Food_DB!$D$5+H42/100*Food_DB!$D$6+I42/100*Food_DB!$D$7+IFERROR(K42/100*VLOOKUP(J42,Food_DB!$A$2:$F$14,4,FALSE),0)+L42*Food_DB!$D$8</f>
        <v>92.999999999999986</v>
      </c>
      <c r="Y42">
        <f>D42*Food_DB!$E$2+E42/100*Food_DB!$E$3+F42/30*Food_DB!$E$4+G42*Food_DB!$E$5+H42/100*Food_DB!$E$6+I42/100*Food_DB!$E$7+IFERROR(K42/100*VLOOKUP(J42,Food_DB!$A$2:$F$14,5,FALSE),0)+L42*Food_DB!$E$8</f>
        <v>63.6</v>
      </c>
      <c r="Z42">
        <f>D42*Food_DB!$F$2+E42/100*Food_DB!$F$3+F42/30*Food_DB!$F$4+G42*Food_DB!$F$5+H42/100*Food_DB!$F$6+I42/100*Food_DB!$F$7+IFERROR(K42/100*VLOOKUP(J42,Food_DB!$A$2:$F$14,6,FALSE),0)+L42*Food_DB!$F$8</f>
        <v>178.15</v>
      </c>
      <c r="AA42">
        <v>6.5</v>
      </c>
      <c r="AB42">
        <v>30</v>
      </c>
      <c r="AC42">
        <v>0</v>
      </c>
      <c r="AD42">
        <v>0</v>
      </c>
      <c r="AE42">
        <f>Dashboard!$B$6*AA42+Dashboard!$B$6*4*AB42/60+Dashboard!$B$6*8*AC42/120+Dashboard!$B$6*7*AD42</f>
        <v>680</v>
      </c>
      <c r="AF42">
        <f>Dashboard!$B$5</f>
        <v>1700</v>
      </c>
      <c r="AG42">
        <f t="shared" si="2"/>
        <v>2720</v>
      </c>
      <c r="AH42">
        <f t="shared" si="3"/>
        <v>-1082.5</v>
      </c>
    </row>
    <row r="43" spans="1:34">
      <c r="A43">
        <v>46219</v>
      </c>
      <c r="B43" t="s">
        <v>93</v>
      </c>
      <c r="C43" t="s">
        <v>89</v>
      </c>
      <c r="D43">
        <v>2</v>
      </c>
      <c r="E43">
        <v>400</v>
      </c>
      <c r="F43">
        <v>30</v>
      </c>
      <c r="G43">
        <v>1</v>
      </c>
      <c r="H43">
        <v>150</v>
      </c>
      <c r="I43">
        <v>250</v>
      </c>
      <c r="J43" t="s">
        <v>85</v>
      </c>
      <c r="K43">
        <v>250</v>
      </c>
      <c r="L43">
        <v>3</v>
      </c>
      <c r="M43">
        <v>0</v>
      </c>
      <c r="N43">
        <f>D43*Food_DB!$C$2</f>
        <v>150</v>
      </c>
      <c r="O43">
        <f>E43/100*Food_DB!$C$3</f>
        <v>260</v>
      </c>
      <c r="P43">
        <f>F43/30*Food_DB!$C$4</f>
        <v>111</v>
      </c>
      <c r="Q43">
        <f>G43*Food_DB!$C$5</f>
        <v>222</v>
      </c>
      <c r="R43">
        <f>H43/100*Food_DB!$C$6</f>
        <v>12</v>
      </c>
      <c r="S43">
        <f>I43/100*Food_DB!$C$7</f>
        <v>62.5</v>
      </c>
      <c r="T43">
        <f>IFERROR(K43/100*VLOOKUP(J43,Food_DB!$A$2:$F$14,3,FALSE),0)</f>
        <v>450</v>
      </c>
      <c r="U43">
        <f>L43*Food_DB!$C$8</f>
        <v>270</v>
      </c>
      <c r="V43">
        <f t="shared" si="0"/>
        <v>0</v>
      </c>
      <c r="W43">
        <f t="shared" si="1"/>
        <v>1537.5</v>
      </c>
      <c r="X43">
        <f>D43*Food_DB!$D$2+E43/100*Food_DB!$D$3+F43/30*Food_DB!$D$4+G43*Food_DB!$D$5+H43/100*Food_DB!$D$6+I43/100*Food_DB!$D$7+IFERROR(K43/100*VLOOKUP(J43,Food_DB!$A$2:$F$14,4,FALSE),0)+L43*Food_DB!$D$8</f>
        <v>92.999999999999986</v>
      </c>
      <c r="Y43">
        <f>D43*Food_DB!$E$2+E43/100*Food_DB!$E$3+F43/30*Food_DB!$E$4+G43*Food_DB!$E$5+H43/100*Food_DB!$E$6+I43/100*Food_DB!$E$7+IFERROR(K43/100*VLOOKUP(J43,Food_DB!$A$2:$F$14,5,FALSE),0)+L43*Food_DB!$E$8</f>
        <v>51.1</v>
      </c>
      <c r="Z43">
        <f>D43*Food_DB!$F$2+E43/100*Food_DB!$F$3+F43/30*Food_DB!$F$4+G43*Food_DB!$F$5+H43/100*Food_DB!$F$6+I43/100*Food_DB!$F$7+IFERROR(K43/100*VLOOKUP(J43,Food_DB!$A$2:$F$14,6,FALSE),0)+L43*Food_DB!$F$8</f>
        <v>178.15</v>
      </c>
      <c r="AA43">
        <v>6.5</v>
      </c>
      <c r="AB43">
        <v>30</v>
      </c>
      <c r="AC43">
        <v>0</v>
      </c>
      <c r="AD43">
        <v>0</v>
      </c>
      <c r="AE43">
        <f>Dashboard!$B$6*AA43+Dashboard!$B$6*4*AB43/60+Dashboard!$B$6*8*AC43/120+Dashboard!$B$6*7*AD43</f>
        <v>680</v>
      </c>
      <c r="AF43">
        <f>Dashboard!$B$5</f>
        <v>1700</v>
      </c>
      <c r="AG43">
        <f t="shared" si="2"/>
        <v>2720</v>
      </c>
      <c r="AH43">
        <f t="shared" si="3"/>
        <v>-1182.5</v>
      </c>
    </row>
    <row r="44" spans="1:34">
      <c r="A44">
        <v>46220</v>
      </c>
      <c r="B44" t="s">
        <v>80</v>
      </c>
      <c r="C44" t="s">
        <v>81</v>
      </c>
      <c r="D44">
        <v>2</v>
      </c>
      <c r="E44">
        <v>400</v>
      </c>
      <c r="F44">
        <v>30</v>
      </c>
      <c r="G44">
        <v>1</v>
      </c>
      <c r="H44">
        <v>150</v>
      </c>
      <c r="I44">
        <v>250</v>
      </c>
      <c r="J44" t="s">
        <v>87</v>
      </c>
      <c r="K44">
        <v>250</v>
      </c>
      <c r="L44">
        <v>3</v>
      </c>
      <c r="M44">
        <v>1000</v>
      </c>
      <c r="N44">
        <f>D44*Food_DB!$C$2</f>
        <v>150</v>
      </c>
      <c r="O44">
        <f>E44/100*Food_DB!$C$3</f>
        <v>260</v>
      </c>
      <c r="P44">
        <f>F44/30*Food_DB!$C$4</f>
        <v>111</v>
      </c>
      <c r="Q44">
        <f>G44*Food_DB!$C$5</f>
        <v>222</v>
      </c>
      <c r="R44">
        <f>H44/100*Food_DB!$C$6</f>
        <v>12</v>
      </c>
      <c r="S44">
        <f>I44/100*Food_DB!$C$7</f>
        <v>62.5</v>
      </c>
      <c r="T44">
        <f>IFERROR(K44/100*VLOOKUP(J44,Food_DB!$A$2:$F$14,3,FALSE),0)</f>
        <v>300</v>
      </c>
      <c r="U44">
        <f>L44*Food_DB!$C$8</f>
        <v>270</v>
      </c>
      <c r="V44">
        <f t="shared" si="0"/>
        <v>1000</v>
      </c>
      <c r="W44">
        <f t="shared" si="1"/>
        <v>2387.5</v>
      </c>
      <c r="X44">
        <f>D44*Food_DB!$D$2+E44/100*Food_DB!$D$3+F44/30*Food_DB!$D$4+G44*Food_DB!$D$5+H44/100*Food_DB!$D$6+I44/100*Food_DB!$D$7+IFERROR(K44/100*VLOOKUP(J44,Food_DB!$A$2:$F$14,4,FALSE),0)+L44*Food_DB!$D$8</f>
        <v>100.49999999999999</v>
      </c>
      <c r="Y44">
        <f>D44*Food_DB!$E$2+E44/100*Food_DB!$E$3+F44/30*Food_DB!$E$4+G44*Food_DB!$E$5+H44/100*Food_DB!$E$6+I44/100*Food_DB!$E$7+IFERROR(K44/100*VLOOKUP(J44,Food_DB!$A$2:$F$14,5,FALSE),0)+L44*Food_DB!$E$8</f>
        <v>32.35</v>
      </c>
      <c r="Z44">
        <f>D44*Food_DB!$F$2+E44/100*Food_DB!$F$3+F44/30*Food_DB!$F$4+G44*Food_DB!$F$5+H44/100*Food_DB!$F$6+I44/100*Food_DB!$F$7+IFERROR(K44/100*VLOOKUP(J44,Food_DB!$A$2:$F$14,6,FALSE),0)+L44*Food_DB!$F$8</f>
        <v>178.15</v>
      </c>
      <c r="AA44">
        <v>6.5</v>
      </c>
      <c r="AB44">
        <v>30</v>
      </c>
      <c r="AC44">
        <v>0</v>
      </c>
      <c r="AD44">
        <v>0</v>
      </c>
      <c r="AE44">
        <f>Dashboard!$B$6*AA44+Dashboard!$B$6*4*AB44/60+Dashboard!$B$6*8*AC44/120+Dashboard!$B$6*7*AD44</f>
        <v>680</v>
      </c>
      <c r="AF44">
        <f>Dashboard!$B$5</f>
        <v>1700</v>
      </c>
      <c r="AG44">
        <f t="shared" si="2"/>
        <v>2720</v>
      </c>
      <c r="AH44">
        <f t="shared" si="3"/>
        <v>-332.5</v>
      </c>
    </row>
    <row r="45" spans="1:34">
      <c r="A45">
        <v>46221</v>
      </c>
      <c r="B45" t="s">
        <v>83</v>
      </c>
      <c r="C45" t="s">
        <v>84</v>
      </c>
      <c r="D45">
        <v>2</v>
      </c>
      <c r="E45">
        <v>400</v>
      </c>
      <c r="F45">
        <v>30</v>
      </c>
      <c r="G45">
        <v>1</v>
      </c>
      <c r="H45">
        <v>150</v>
      </c>
      <c r="I45">
        <v>250</v>
      </c>
      <c r="J45" t="s">
        <v>90</v>
      </c>
      <c r="K45">
        <v>250</v>
      </c>
      <c r="L45">
        <v>3</v>
      </c>
      <c r="M45">
        <v>0</v>
      </c>
      <c r="N45">
        <f>D45*Food_DB!$C$2</f>
        <v>150</v>
      </c>
      <c r="O45">
        <f>E45/100*Food_DB!$C$3</f>
        <v>260</v>
      </c>
      <c r="P45">
        <f>F45/30*Food_DB!$C$4</f>
        <v>111</v>
      </c>
      <c r="Q45">
        <f>G45*Food_DB!$C$5</f>
        <v>222</v>
      </c>
      <c r="R45">
        <f>H45/100*Food_DB!$C$6</f>
        <v>12</v>
      </c>
      <c r="S45">
        <f>I45/100*Food_DB!$C$7</f>
        <v>62.5</v>
      </c>
      <c r="T45">
        <f>IFERROR(K45/100*VLOOKUP(J45,Food_DB!$A$2:$F$14,3,FALSE),0)</f>
        <v>575</v>
      </c>
      <c r="U45">
        <f>L45*Food_DB!$C$8</f>
        <v>270</v>
      </c>
      <c r="V45">
        <f t="shared" si="0"/>
        <v>0</v>
      </c>
      <c r="W45">
        <f t="shared" si="1"/>
        <v>1662.5</v>
      </c>
      <c r="X45">
        <f>D45*Food_DB!$D$2+E45/100*Food_DB!$D$3+F45/30*Food_DB!$D$4+G45*Food_DB!$D$5+H45/100*Food_DB!$D$6+I45/100*Food_DB!$D$7+IFERROR(K45/100*VLOOKUP(J45,Food_DB!$A$2:$F$14,4,FALSE),0)+L45*Food_DB!$D$8</f>
        <v>87.999999999999986</v>
      </c>
      <c r="Y45">
        <f>D45*Food_DB!$E$2+E45/100*Food_DB!$E$3+F45/30*Food_DB!$E$4+G45*Food_DB!$E$5+H45/100*Food_DB!$E$6+I45/100*Food_DB!$E$7+IFERROR(K45/100*VLOOKUP(J45,Food_DB!$A$2:$F$14,5,FALSE),0)+L45*Food_DB!$E$8</f>
        <v>68.599999999999994</v>
      </c>
      <c r="Z45">
        <f>D45*Food_DB!$F$2+E45/100*Food_DB!$F$3+F45/30*Food_DB!$F$4+G45*Food_DB!$F$5+H45/100*Food_DB!$F$6+I45/100*Food_DB!$F$7+IFERROR(K45/100*VLOOKUP(J45,Food_DB!$A$2:$F$14,6,FALSE),0)+L45*Food_DB!$F$8</f>
        <v>178.15</v>
      </c>
      <c r="AA45">
        <v>0</v>
      </c>
      <c r="AB45">
        <v>0</v>
      </c>
      <c r="AC45">
        <v>0</v>
      </c>
      <c r="AD45">
        <v>3.5</v>
      </c>
      <c r="AE45">
        <f>Dashboard!$B$6*AA45+Dashboard!$B$6*4*AB45/60+Dashboard!$B$6*8*AC45/120+Dashboard!$B$6*7*AD45</f>
        <v>1960</v>
      </c>
      <c r="AF45">
        <f>Dashboard!$B$5</f>
        <v>1700</v>
      </c>
      <c r="AG45">
        <f t="shared" si="2"/>
        <v>4000</v>
      </c>
      <c r="AH45">
        <f t="shared" si="3"/>
        <v>-2337.5</v>
      </c>
    </row>
    <row r="46" spans="1:34">
      <c r="A46">
        <v>46222</v>
      </c>
      <c r="B46" t="s">
        <v>86</v>
      </c>
      <c r="C46" t="s">
        <v>84</v>
      </c>
      <c r="D46">
        <v>2</v>
      </c>
      <c r="E46">
        <v>400</v>
      </c>
      <c r="F46">
        <v>30</v>
      </c>
      <c r="G46">
        <v>1</v>
      </c>
      <c r="H46">
        <v>150</v>
      </c>
      <c r="I46">
        <v>250</v>
      </c>
      <c r="J46" t="s">
        <v>82</v>
      </c>
      <c r="K46">
        <v>250</v>
      </c>
      <c r="L46">
        <v>3</v>
      </c>
      <c r="M46">
        <v>0</v>
      </c>
      <c r="N46">
        <f>D46*Food_DB!$C$2</f>
        <v>150</v>
      </c>
      <c r="O46">
        <f>E46/100*Food_DB!$C$3</f>
        <v>260</v>
      </c>
      <c r="P46">
        <f>F46/30*Food_DB!$C$4</f>
        <v>111</v>
      </c>
      <c r="Q46">
        <f>G46*Food_DB!$C$5</f>
        <v>222</v>
      </c>
      <c r="R46">
        <f>H46/100*Food_DB!$C$6</f>
        <v>12</v>
      </c>
      <c r="S46">
        <f>I46/100*Food_DB!$C$7</f>
        <v>62.5</v>
      </c>
      <c r="T46">
        <f>IFERROR(K46/100*VLOOKUP(J46,Food_DB!$A$2:$F$14,3,FALSE),0)</f>
        <v>550</v>
      </c>
      <c r="U46">
        <f>L46*Food_DB!$C$8</f>
        <v>270</v>
      </c>
      <c r="V46">
        <f t="shared" si="0"/>
        <v>0</v>
      </c>
      <c r="W46">
        <f t="shared" si="1"/>
        <v>1637.5</v>
      </c>
      <c r="X46">
        <f>D46*Food_DB!$D$2+E46/100*Food_DB!$D$3+F46/30*Food_DB!$D$4+G46*Food_DB!$D$5+H46/100*Food_DB!$D$6+I46/100*Food_DB!$D$7+IFERROR(K46/100*VLOOKUP(J46,Food_DB!$A$2:$F$14,4,FALSE),0)+L46*Food_DB!$D$8</f>
        <v>92.999999999999986</v>
      </c>
      <c r="Y46">
        <f>D46*Food_DB!$E$2+E46/100*Food_DB!$E$3+F46/30*Food_DB!$E$4+G46*Food_DB!$E$5+H46/100*Food_DB!$E$6+I46/100*Food_DB!$E$7+IFERROR(K46/100*VLOOKUP(J46,Food_DB!$A$2:$F$14,5,FALSE),0)+L46*Food_DB!$E$8</f>
        <v>63.6</v>
      </c>
      <c r="Z46">
        <f>D46*Food_DB!$F$2+E46/100*Food_DB!$F$3+F46/30*Food_DB!$F$4+G46*Food_DB!$F$5+H46/100*Food_DB!$F$6+I46/100*Food_DB!$F$7+IFERROR(K46/100*VLOOKUP(J46,Food_DB!$A$2:$F$14,6,FALSE),0)+L46*Food_DB!$F$8</f>
        <v>178.15</v>
      </c>
      <c r="AA46">
        <v>0</v>
      </c>
      <c r="AB46">
        <v>0</v>
      </c>
      <c r="AC46">
        <v>0</v>
      </c>
      <c r="AD46">
        <v>3.5</v>
      </c>
      <c r="AE46">
        <f>Dashboard!$B$6*AA46+Dashboard!$B$6*4*AB46/60+Dashboard!$B$6*8*AC46/120+Dashboard!$B$6*7*AD46</f>
        <v>1960</v>
      </c>
      <c r="AF46">
        <f>Dashboard!$B$5</f>
        <v>1700</v>
      </c>
      <c r="AG46">
        <f t="shared" si="2"/>
        <v>4000</v>
      </c>
      <c r="AH46">
        <f t="shared" si="3"/>
        <v>-2362.5</v>
      </c>
    </row>
    <row r="47" spans="1:34">
      <c r="A47">
        <v>46223</v>
      </c>
      <c r="B47" t="s">
        <v>88</v>
      </c>
      <c r="C47" t="s">
        <v>89</v>
      </c>
      <c r="D47">
        <v>2</v>
      </c>
      <c r="E47">
        <v>400</v>
      </c>
      <c r="F47">
        <v>30</v>
      </c>
      <c r="G47">
        <v>1</v>
      </c>
      <c r="H47">
        <v>150</v>
      </c>
      <c r="I47">
        <v>250</v>
      </c>
      <c r="J47" t="s">
        <v>85</v>
      </c>
      <c r="K47">
        <v>250</v>
      </c>
      <c r="L47">
        <v>3</v>
      </c>
      <c r="M47">
        <v>0</v>
      </c>
      <c r="N47">
        <f>D47*Food_DB!$C$2</f>
        <v>150</v>
      </c>
      <c r="O47">
        <f>E47/100*Food_DB!$C$3</f>
        <v>260</v>
      </c>
      <c r="P47">
        <f>F47/30*Food_DB!$C$4</f>
        <v>111</v>
      </c>
      <c r="Q47">
        <f>G47*Food_DB!$C$5</f>
        <v>222</v>
      </c>
      <c r="R47">
        <f>H47/100*Food_DB!$C$6</f>
        <v>12</v>
      </c>
      <c r="S47">
        <f>I47/100*Food_DB!$C$7</f>
        <v>62.5</v>
      </c>
      <c r="T47">
        <f>IFERROR(K47/100*VLOOKUP(J47,Food_DB!$A$2:$F$14,3,FALSE),0)</f>
        <v>450</v>
      </c>
      <c r="U47">
        <f>L47*Food_DB!$C$8</f>
        <v>270</v>
      </c>
      <c r="V47">
        <f t="shared" si="0"/>
        <v>0</v>
      </c>
      <c r="W47">
        <f t="shared" si="1"/>
        <v>1537.5</v>
      </c>
      <c r="X47">
        <f>D47*Food_DB!$D$2+E47/100*Food_DB!$D$3+F47/30*Food_DB!$D$4+G47*Food_DB!$D$5+H47/100*Food_DB!$D$6+I47/100*Food_DB!$D$7+IFERROR(K47/100*VLOOKUP(J47,Food_DB!$A$2:$F$14,4,FALSE),0)+L47*Food_DB!$D$8</f>
        <v>92.999999999999986</v>
      </c>
      <c r="Y47">
        <f>D47*Food_DB!$E$2+E47/100*Food_DB!$E$3+F47/30*Food_DB!$E$4+G47*Food_DB!$E$5+H47/100*Food_DB!$E$6+I47/100*Food_DB!$E$7+IFERROR(K47/100*VLOOKUP(J47,Food_DB!$A$2:$F$14,5,FALSE),0)+L47*Food_DB!$E$8</f>
        <v>51.1</v>
      </c>
      <c r="Z47">
        <f>D47*Food_DB!$F$2+E47/100*Food_DB!$F$3+F47/30*Food_DB!$F$4+G47*Food_DB!$F$5+H47/100*Food_DB!$F$6+I47/100*Food_DB!$F$7+IFERROR(K47/100*VLOOKUP(J47,Food_DB!$A$2:$F$14,6,FALSE),0)+L47*Food_DB!$F$8</f>
        <v>178.15</v>
      </c>
      <c r="AA47">
        <v>6.5</v>
      </c>
      <c r="AB47">
        <v>30</v>
      </c>
      <c r="AC47">
        <v>0</v>
      </c>
      <c r="AD47">
        <v>0</v>
      </c>
      <c r="AE47">
        <f>Dashboard!$B$6*AA47+Dashboard!$B$6*4*AB47/60+Dashboard!$B$6*8*AC47/120+Dashboard!$B$6*7*AD47</f>
        <v>680</v>
      </c>
      <c r="AF47">
        <f>Dashboard!$B$5</f>
        <v>1700</v>
      </c>
      <c r="AG47">
        <f t="shared" si="2"/>
        <v>2720</v>
      </c>
      <c r="AH47">
        <f t="shared" si="3"/>
        <v>-1182.5</v>
      </c>
    </row>
    <row r="48" spans="1:34">
      <c r="A48">
        <v>46224</v>
      </c>
      <c r="B48" t="s">
        <v>91</v>
      </c>
      <c r="C48" t="s">
        <v>89</v>
      </c>
      <c r="D48">
        <v>2</v>
      </c>
      <c r="E48">
        <v>400</v>
      </c>
      <c r="F48">
        <v>30</v>
      </c>
      <c r="G48">
        <v>1</v>
      </c>
      <c r="H48">
        <v>150</v>
      </c>
      <c r="I48">
        <v>250</v>
      </c>
      <c r="J48" t="s">
        <v>87</v>
      </c>
      <c r="K48">
        <v>250</v>
      </c>
      <c r="L48">
        <v>3</v>
      </c>
      <c r="M48">
        <v>0</v>
      </c>
      <c r="N48">
        <f>D48*Food_DB!$C$2</f>
        <v>150</v>
      </c>
      <c r="O48">
        <f>E48/100*Food_DB!$C$3</f>
        <v>260</v>
      </c>
      <c r="P48">
        <f>F48/30*Food_DB!$C$4</f>
        <v>111</v>
      </c>
      <c r="Q48">
        <f>G48*Food_DB!$C$5</f>
        <v>222</v>
      </c>
      <c r="R48">
        <f>H48/100*Food_DB!$C$6</f>
        <v>12</v>
      </c>
      <c r="S48">
        <f>I48/100*Food_DB!$C$7</f>
        <v>62.5</v>
      </c>
      <c r="T48">
        <f>IFERROR(K48/100*VLOOKUP(J48,Food_DB!$A$2:$F$14,3,FALSE),0)</f>
        <v>300</v>
      </c>
      <c r="U48">
        <f>L48*Food_DB!$C$8</f>
        <v>270</v>
      </c>
      <c r="V48">
        <f t="shared" si="0"/>
        <v>0</v>
      </c>
      <c r="W48">
        <f t="shared" si="1"/>
        <v>1387.5</v>
      </c>
      <c r="X48">
        <f>D48*Food_DB!$D$2+E48/100*Food_DB!$D$3+F48/30*Food_DB!$D$4+G48*Food_DB!$D$5+H48/100*Food_DB!$D$6+I48/100*Food_DB!$D$7+IFERROR(K48/100*VLOOKUP(J48,Food_DB!$A$2:$F$14,4,FALSE),0)+L48*Food_DB!$D$8</f>
        <v>100.49999999999999</v>
      </c>
      <c r="Y48">
        <f>D48*Food_DB!$E$2+E48/100*Food_DB!$E$3+F48/30*Food_DB!$E$4+G48*Food_DB!$E$5+H48/100*Food_DB!$E$6+I48/100*Food_DB!$E$7+IFERROR(K48/100*VLOOKUP(J48,Food_DB!$A$2:$F$14,5,FALSE),0)+L48*Food_DB!$E$8</f>
        <v>32.35</v>
      </c>
      <c r="Z48">
        <f>D48*Food_DB!$F$2+E48/100*Food_DB!$F$3+F48/30*Food_DB!$F$4+G48*Food_DB!$F$5+H48/100*Food_DB!$F$6+I48/100*Food_DB!$F$7+IFERROR(K48/100*VLOOKUP(J48,Food_DB!$A$2:$F$14,6,FALSE),0)+L48*Food_DB!$F$8</f>
        <v>178.15</v>
      </c>
      <c r="AA48">
        <v>6.5</v>
      </c>
      <c r="AB48">
        <v>30</v>
      </c>
      <c r="AC48">
        <v>0</v>
      </c>
      <c r="AD48">
        <v>0</v>
      </c>
      <c r="AE48">
        <f>Dashboard!$B$6*AA48+Dashboard!$B$6*4*AB48/60+Dashboard!$B$6*8*AC48/120+Dashboard!$B$6*7*AD48</f>
        <v>680</v>
      </c>
      <c r="AF48">
        <f>Dashboard!$B$5</f>
        <v>1700</v>
      </c>
      <c r="AG48">
        <f t="shared" si="2"/>
        <v>2720</v>
      </c>
      <c r="AH48">
        <f t="shared" si="3"/>
        <v>-1332.5</v>
      </c>
    </row>
    <row r="49" spans="1:34">
      <c r="A49">
        <v>46225</v>
      </c>
      <c r="B49" t="s">
        <v>92</v>
      </c>
      <c r="C49" t="s">
        <v>89</v>
      </c>
      <c r="D49">
        <v>2</v>
      </c>
      <c r="E49">
        <v>400</v>
      </c>
      <c r="F49">
        <v>30</v>
      </c>
      <c r="G49">
        <v>1</v>
      </c>
      <c r="H49">
        <v>150</v>
      </c>
      <c r="I49">
        <v>250</v>
      </c>
      <c r="J49" t="s">
        <v>90</v>
      </c>
      <c r="K49">
        <v>250</v>
      </c>
      <c r="L49">
        <v>3</v>
      </c>
      <c r="M49">
        <v>0</v>
      </c>
      <c r="N49">
        <f>D49*Food_DB!$C$2</f>
        <v>150</v>
      </c>
      <c r="O49">
        <f>E49/100*Food_DB!$C$3</f>
        <v>260</v>
      </c>
      <c r="P49">
        <f>F49/30*Food_DB!$C$4</f>
        <v>111</v>
      </c>
      <c r="Q49">
        <f>G49*Food_DB!$C$5</f>
        <v>222</v>
      </c>
      <c r="R49">
        <f>H49/100*Food_DB!$C$6</f>
        <v>12</v>
      </c>
      <c r="S49">
        <f>I49/100*Food_DB!$C$7</f>
        <v>62.5</v>
      </c>
      <c r="T49">
        <f>IFERROR(K49/100*VLOOKUP(J49,Food_DB!$A$2:$F$14,3,FALSE),0)</f>
        <v>575</v>
      </c>
      <c r="U49">
        <f>L49*Food_DB!$C$8</f>
        <v>270</v>
      </c>
      <c r="V49">
        <f t="shared" si="0"/>
        <v>0</v>
      </c>
      <c r="W49">
        <f t="shared" si="1"/>
        <v>1662.5</v>
      </c>
      <c r="X49">
        <f>D49*Food_DB!$D$2+E49/100*Food_DB!$D$3+F49/30*Food_DB!$D$4+G49*Food_DB!$D$5+H49/100*Food_DB!$D$6+I49/100*Food_DB!$D$7+IFERROR(K49/100*VLOOKUP(J49,Food_DB!$A$2:$F$14,4,FALSE),0)+L49*Food_DB!$D$8</f>
        <v>87.999999999999986</v>
      </c>
      <c r="Y49">
        <f>D49*Food_DB!$E$2+E49/100*Food_DB!$E$3+F49/30*Food_DB!$E$4+G49*Food_DB!$E$5+H49/100*Food_DB!$E$6+I49/100*Food_DB!$E$7+IFERROR(K49/100*VLOOKUP(J49,Food_DB!$A$2:$F$14,5,FALSE),0)+L49*Food_DB!$E$8</f>
        <v>68.599999999999994</v>
      </c>
      <c r="Z49">
        <f>D49*Food_DB!$F$2+E49/100*Food_DB!$F$3+F49/30*Food_DB!$F$4+G49*Food_DB!$F$5+H49/100*Food_DB!$F$6+I49/100*Food_DB!$F$7+IFERROR(K49/100*VLOOKUP(J49,Food_DB!$A$2:$F$14,6,FALSE),0)+L49*Food_DB!$F$8</f>
        <v>178.15</v>
      </c>
      <c r="AA49">
        <v>6.5</v>
      </c>
      <c r="AB49">
        <v>30</v>
      </c>
      <c r="AC49">
        <v>0</v>
      </c>
      <c r="AD49">
        <v>0</v>
      </c>
      <c r="AE49">
        <f>Dashboard!$B$6*AA49+Dashboard!$B$6*4*AB49/60+Dashboard!$B$6*8*AC49/120+Dashboard!$B$6*7*AD49</f>
        <v>680</v>
      </c>
      <c r="AF49">
        <f>Dashboard!$B$5</f>
        <v>1700</v>
      </c>
      <c r="AG49">
        <f t="shared" si="2"/>
        <v>2720</v>
      </c>
      <c r="AH49">
        <f t="shared" si="3"/>
        <v>-1057.5</v>
      </c>
    </row>
    <row r="50" spans="1:34">
      <c r="A50">
        <v>46226</v>
      </c>
      <c r="B50" t="s">
        <v>93</v>
      </c>
      <c r="C50" t="s">
        <v>89</v>
      </c>
      <c r="D50">
        <v>2</v>
      </c>
      <c r="E50">
        <v>400</v>
      </c>
      <c r="F50">
        <v>30</v>
      </c>
      <c r="G50">
        <v>1</v>
      </c>
      <c r="H50">
        <v>150</v>
      </c>
      <c r="I50">
        <v>250</v>
      </c>
      <c r="J50" t="s">
        <v>82</v>
      </c>
      <c r="K50">
        <v>250</v>
      </c>
      <c r="L50">
        <v>3</v>
      </c>
      <c r="M50">
        <v>0</v>
      </c>
      <c r="N50">
        <f>D50*Food_DB!$C$2</f>
        <v>150</v>
      </c>
      <c r="O50">
        <f>E50/100*Food_DB!$C$3</f>
        <v>260</v>
      </c>
      <c r="P50">
        <f>F50/30*Food_DB!$C$4</f>
        <v>111</v>
      </c>
      <c r="Q50">
        <f>G50*Food_DB!$C$5</f>
        <v>222</v>
      </c>
      <c r="R50">
        <f>H50/100*Food_DB!$C$6</f>
        <v>12</v>
      </c>
      <c r="S50">
        <f>I50/100*Food_DB!$C$7</f>
        <v>62.5</v>
      </c>
      <c r="T50">
        <f>IFERROR(K50/100*VLOOKUP(J50,Food_DB!$A$2:$F$14,3,FALSE),0)</f>
        <v>550</v>
      </c>
      <c r="U50">
        <f>L50*Food_DB!$C$8</f>
        <v>270</v>
      </c>
      <c r="V50">
        <f t="shared" si="0"/>
        <v>0</v>
      </c>
      <c r="W50">
        <f t="shared" si="1"/>
        <v>1637.5</v>
      </c>
      <c r="X50">
        <f>D50*Food_DB!$D$2+E50/100*Food_DB!$D$3+F50/30*Food_DB!$D$4+G50*Food_DB!$D$5+H50/100*Food_DB!$D$6+I50/100*Food_DB!$D$7+IFERROR(K50/100*VLOOKUP(J50,Food_DB!$A$2:$F$14,4,FALSE),0)+L50*Food_DB!$D$8</f>
        <v>92.999999999999986</v>
      </c>
      <c r="Y50">
        <f>D50*Food_DB!$E$2+E50/100*Food_DB!$E$3+F50/30*Food_DB!$E$4+G50*Food_DB!$E$5+H50/100*Food_DB!$E$6+I50/100*Food_DB!$E$7+IFERROR(K50/100*VLOOKUP(J50,Food_DB!$A$2:$F$14,5,FALSE),0)+L50*Food_DB!$E$8</f>
        <v>63.6</v>
      </c>
      <c r="Z50">
        <f>D50*Food_DB!$F$2+E50/100*Food_DB!$F$3+F50/30*Food_DB!$F$4+G50*Food_DB!$F$5+H50/100*Food_DB!$F$6+I50/100*Food_DB!$F$7+IFERROR(K50/100*VLOOKUP(J50,Food_DB!$A$2:$F$14,6,FALSE),0)+L50*Food_DB!$F$8</f>
        <v>178.15</v>
      </c>
      <c r="AA50">
        <v>6.5</v>
      </c>
      <c r="AB50">
        <v>30</v>
      </c>
      <c r="AC50">
        <v>0</v>
      </c>
      <c r="AD50">
        <v>0</v>
      </c>
      <c r="AE50">
        <f>Dashboard!$B$6*AA50+Dashboard!$B$6*4*AB50/60+Dashboard!$B$6*8*AC50/120+Dashboard!$B$6*7*AD50</f>
        <v>680</v>
      </c>
      <c r="AF50">
        <f>Dashboard!$B$5</f>
        <v>1700</v>
      </c>
      <c r="AG50">
        <f t="shared" si="2"/>
        <v>2720</v>
      </c>
      <c r="AH50">
        <f t="shared" si="3"/>
        <v>-1082.5</v>
      </c>
    </row>
    <row r="51" spans="1:34">
      <c r="A51">
        <v>46227</v>
      </c>
      <c r="B51" t="s">
        <v>80</v>
      </c>
      <c r="C51" t="s">
        <v>81</v>
      </c>
      <c r="D51">
        <v>2</v>
      </c>
      <c r="E51">
        <v>400</v>
      </c>
      <c r="F51">
        <v>30</v>
      </c>
      <c r="G51">
        <v>1</v>
      </c>
      <c r="H51">
        <v>150</v>
      </c>
      <c r="I51">
        <v>250</v>
      </c>
      <c r="J51" t="s">
        <v>85</v>
      </c>
      <c r="K51">
        <v>250</v>
      </c>
      <c r="L51">
        <v>3</v>
      </c>
      <c r="M51">
        <v>1000</v>
      </c>
      <c r="N51">
        <f>D51*Food_DB!$C$2</f>
        <v>150</v>
      </c>
      <c r="O51">
        <f>E51/100*Food_DB!$C$3</f>
        <v>260</v>
      </c>
      <c r="P51">
        <f>F51/30*Food_DB!$C$4</f>
        <v>111</v>
      </c>
      <c r="Q51">
        <f>G51*Food_DB!$C$5</f>
        <v>222</v>
      </c>
      <c r="R51">
        <f>H51/100*Food_DB!$C$6</f>
        <v>12</v>
      </c>
      <c r="S51">
        <f>I51/100*Food_DB!$C$7</f>
        <v>62.5</v>
      </c>
      <c r="T51">
        <f>IFERROR(K51/100*VLOOKUP(J51,Food_DB!$A$2:$F$14,3,FALSE),0)</f>
        <v>450</v>
      </c>
      <c r="U51">
        <f>L51*Food_DB!$C$8</f>
        <v>270</v>
      </c>
      <c r="V51">
        <f t="shared" si="0"/>
        <v>1000</v>
      </c>
      <c r="W51">
        <f t="shared" si="1"/>
        <v>2537.5</v>
      </c>
      <c r="X51">
        <f>D51*Food_DB!$D$2+E51/100*Food_DB!$D$3+F51/30*Food_DB!$D$4+G51*Food_DB!$D$5+H51/100*Food_DB!$D$6+I51/100*Food_DB!$D$7+IFERROR(K51/100*VLOOKUP(J51,Food_DB!$A$2:$F$14,4,FALSE),0)+L51*Food_DB!$D$8</f>
        <v>92.999999999999986</v>
      </c>
      <c r="Y51">
        <f>D51*Food_DB!$E$2+E51/100*Food_DB!$E$3+F51/30*Food_DB!$E$4+G51*Food_DB!$E$5+H51/100*Food_DB!$E$6+I51/100*Food_DB!$E$7+IFERROR(K51/100*VLOOKUP(J51,Food_DB!$A$2:$F$14,5,FALSE),0)+L51*Food_DB!$E$8</f>
        <v>51.1</v>
      </c>
      <c r="Z51">
        <f>D51*Food_DB!$F$2+E51/100*Food_DB!$F$3+F51/30*Food_DB!$F$4+G51*Food_DB!$F$5+H51/100*Food_DB!$F$6+I51/100*Food_DB!$F$7+IFERROR(K51/100*VLOOKUP(J51,Food_DB!$A$2:$F$14,6,FALSE),0)+L51*Food_DB!$F$8</f>
        <v>178.15</v>
      </c>
      <c r="AA51">
        <v>6.5</v>
      </c>
      <c r="AB51">
        <v>30</v>
      </c>
      <c r="AC51">
        <v>0</v>
      </c>
      <c r="AD51">
        <v>0</v>
      </c>
      <c r="AE51">
        <f>Dashboard!$B$6*AA51+Dashboard!$B$6*4*AB51/60+Dashboard!$B$6*8*AC51/120+Dashboard!$B$6*7*AD51</f>
        <v>680</v>
      </c>
      <c r="AF51">
        <f>Dashboard!$B$5</f>
        <v>1700</v>
      </c>
      <c r="AG51">
        <f t="shared" si="2"/>
        <v>2720</v>
      </c>
      <c r="AH51">
        <f t="shared" si="3"/>
        <v>-182.5</v>
      </c>
    </row>
    <row r="52" spans="1:34">
      <c r="A52">
        <v>46228</v>
      </c>
      <c r="B52" t="s">
        <v>83</v>
      </c>
      <c r="C52" t="s">
        <v>84</v>
      </c>
      <c r="D52">
        <v>2</v>
      </c>
      <c r="E52">
        <v>400</v>
      </c>
      <c r="F52">
        <v>30</v>
      </c>
      <c r="G52">
        <v>1</v>
      </c>
      <c r="H52">
        <v>150</v>
      </c>
      <c r="I52">
        <v>250</v>
      </c>
      <c r="J52" t="s">
        <v>87</v>
      </c>
      <c r="K52">
        <v>250</v>
      </c>
      <c r="L52">
        <v>3</v>
      </c>
      <c r="M52">
        <v>0</v>
      </c>
      <c r="N52">
        <f>D52*Food_DB!$C$2</f>
        <v>150</v>
      </c>
      <c r="O52">
        <f>E52/100*Food_DB!$C$3</f>
        <v>260</v>
      </c>
      <c r="P52">
        <f>F52/30*Food_DB!$C$4</f>
        <v>111</v>
      </c>
      <c r="Q52">
        <f>G52*Food_DB!$C$5</f>
        <v>222</v>
      </c>
      <c r="R52">
        <f>H52/100*Food_DB!$C$6</f>
        <v>12</v>
      </c>
      <c r="S52">
        <f>I52/100*Food_DB!$C$7</f>
        <v>62.5</v>
      </c>
      <c r="T52">
        <f>IFERROR(K52/100*VLOOKUP(J52,Food_DB!$A$2:$F$14,3,FALSE),0)</f>
        <v>300</v>
      </c>
      <c r="U52">
        <f>L52*Food_DB!$C$8</f>
        <v>270</v>
      </c>
      <c r="V52">
        <f t="shared" si="0"/>
        <v>0</v>
      </c>
      <c r="W52">
        <f t="shared" si="1"/>
        <v>1387.5</v>
      </c>
      <c r="X52">
        <f>D52*Food_DB!$D$2+E52/100*Food_DB!$D$3+F52/30*Food_DB!$D$4+G52*Food_DB!$D$5+H52/100*Food_DB!$D$6+I52/100*Food_DB!$D$7+IFERROR(K52/100*VLOOKUP(J52,Food_DB!$A$2:$F$14,4,FALSE),0)+L52*Food_DB!$D$8</f>
        <v>100.49999999999999</v>
      </c>
      <c r="Y52">
        <f>D52*Food_DB!$E$2+E52/100*Food_DB!$E$3+F52/30*Food_DB!$E$4+G52*Food_DB!$E$5+H52/100*Food_DB!$E$6+I52/100*Food_DB!$E$7+IFERROR(K52/100*VLOOKUP(J52,Food_DB!$A$2:$F$14,5,FALSE),0)+L52*Food_DB!$E$8</f>
        <v>32.35</v>
      </c>
      <c r="Z52">
        <f>D52*Food_DB!$F$2+E52/100*Food_DB!$F$3+F52/30*Food_DB!$F$4+G52*Food_DB!$F$5+H52/100*Food_DB!$F$6+I52/100*Food_DB!$F$7+IFERROR(K52/100*VLOOKUP(J52,Food_DB!$A$2:$F$14,6,FALSE),0)+L52*Food_DB!$F$8</f>
        <v>178.15</v>
      </c>
      <c r="AA52">
        <v>0</v>
      </c>
      <c r="AB52">
        <v>0</v>
      </c>
      <c r="AC52">
        <v>0</v>
      </c>
      <c r="AD52">
        <v>3.5</v>
      </c>
      <c r="AE52">
        <f>Dashboard!$B$6*AA52+Dashboard!$B$6*4*AB52/60+Dashboard!$B$6*8*AC52/120+Dashboard!$B$6*7*AD52</f>
        <v>1960</v>
      </c>
      <c r="AF52">
        <f>Dashboard!$B$5</f>
        <v>1700</v>
      </c>
      <c r="AG52">
        <f t="shared" si="2"/>
        <v>4000</v>
      </c>
      <c r="AH52">
        <f t="shared" si="3"/>
        <v>-2612.5</v>
      </c>
    </row>
    <row r="53" spans="1:34">
      <c r="A53">
        <v>46229</v>
      </c>
      <c r="B53" t="s">
        <v>86</v>
      </c>
      <c r="C53" t="s">
        <v>84</v>
      </c>
      <c r="D53">
        <v>2</v>
      </c>
      <c r="E53">
        <v>400</v>
      </c>
      <c r="F53">
        <v>30</v>
      </c>
      <c r="G53">
        <v>1</v>
      </c>
      <c r="H53">
        <v>150</v>
      </c>
      <c r="I53">
        <v>250</v>
      </c>
      <c r="J53" t="s">
        <v>90</v>
      </c>
      <c r="K53">
        <v>250</v>
      </c>
      <c r="L53">
        <v>3</v>
      </c>
      <c r="M53">
        <v>0</v>
      </c>
      <c r="N53">
        <f>D53*Food_DB!$C$2</f>
        <v>150</v>
      </c>
      <c r="O53">
        <f>E53/100*Food_DB!$C$3</f>
        <v>260</v>
      </c>
      <c r="P53">
        <f>F53/30*Food_DB!$C$4</f>
        <v>111</v>
      </c>
      <c r="Q53">
        <f>G53*Food_DB!$C$5</f>
        <v>222</v>
      </c>
      <c r="R53">
        <f>H53/100*Food_DB!$C$6</f>
        <v>12</v>
      </c>
      <c r="S53">
        <f>I53/100*Food_DB!$C$7</f>
        <v>62.5</v>
      </c>
      <c r="T53">
        <f>IFERROR(K53/100*VLOOKUP(J53,Food_DB!$A$2:$F$14,3,FALSE),0)</f>
        <v>575</v>
      </c>
      <c r="U53">
        <f>L53*Food_DB!$C$8</f>
        <v>270</v>
      </c>
      <c r="V53">
        <f t="shared" si="0"/>
        <v>0</v>
      </c>
      <c r="W53">
        <f t="shared" si="1"/>
        <v>1662.5</v>
      </c>
      <c r="X53">
        <f>D53*Food_DB!$D$2+E53/100*Food_DB!$D$3+F53/30*Food_DB!$D$4+G53*Food_DB!$D$5+H53/100*Food_DB!$D$6+I53/100*Food_DB!$D$7+IFERROR(K53/100*VLOOKUP(J53,Food_DB!$A$2:$F$14,4,FALSE),0)+L53*Food_DB!$D$8</f>
        <v>87.999999999999986</v>
      </c>
      <c r="Y53">
        <f>D53*Food_DB!$E$2+E53/100*Food_DB!$E$3+F53/30*Food_DB!$E$4+G53*Food_DB!$E$5+H53/100*Food_DB!$E$6+I53/100*Food_DB!$E$7+IFERROR(K53/100*VLOOKUP(J53,Food_DB!$A$2:$F$14,5,FALSE),0)+L53*Food_DB!$E$8</f>
        <v>68.599999999999994</v>
      </c>
      <c r="Z53">
        <f>D53*Food_DB!$F$2+E53/100*Food_DB!$F$3+F53/30*Food_DB!$F$4+G53*Food_DB!$F$5+H53/100*Food_DB!$F$6+I53/100*Food_DB!$F$7+IFERROR(K53/100*VLOOKUP(J53,Food_DB!$A$2:$F$14,6,FALSE),0)+L53*Food_DB!$F$8</f>
        <v>178.15</v>
      </c>
      <c r="AA53">
        <v>0</v>
      </c>
      <c r="AB53">
        <v>0</v>
      </c>
      <c r="AC53">
        <v>0</v>
      </c>
      <c r="AD53">
        <v>3.5</v>
      </c>
      <c r="AE53">
        <f>Dashboard!$B$6*AA53+Dashboard!$B$6*4*AB53/60+Dashboard!$B$6*8*AC53/120+Dashboard!$B$6*7*AD53</f>
        <v>1960</v>
      </c>
      <c r="AF53">
        <f>Dashboard!$B$5</f>
        <v>1700</v>
      </c>
      <c r="AG53">
        <f t="shared" si="2"/>
        <v>4000</v>
      </c>
      <c r="AH53">
        <f t="shared" si="3"/>
        <v>-2337.5</v>
      </c>
    </row>
    <row r="54" spans="1:34">
      <c r="A54">
        <v>46230</v>
      </c>
      <c r="B54" t="s">
        <v>88</v>
      </c>
      <c r="C54" t="s">
        <v>89</v>
      </c>
      <c r="D54">
        <v>2</v>
      </c>
      <c r="E54">
        <v>400</v>
      </c>
      <c r="F54">
        <v>30</v>
      </c>
      <c r="G54">
        <v>1</v>
      </c>
      <c r="H54">
        <v>150</v>
      </c>
      <c r="I54">
        <v>250</v>
      </c>
      <c r="J54" t="s">
        <v>82</v>
      </c>
      <c r="K54">
        <v>250</v>
      </c>
      <c r="L54">
        <v>3</v>
      </c>
      <c r="M54">
        <v>0</v>
      </c>
      <c r="N54">
        <f>D54*Food_DB!$C$2</f>
        <v>150</v>
      </c>
      <c r="O54">
        <f>E54/100*Food_DB!$C$3</f>
        <v>260</v>
      </c>
      <c r="P54">
        <f>F54/30*Food_DB!$C$4</f>
        <v>111</v>
      </c>
      <c r="Q54">
        <f>G54*Food_DB!$C$5</f>
        <v>222</v>
      </c>
      <c r="R54">
        <f>H54/100*Food_DB!$C$6</f>
        <v>12</v>
      </c>
      <c r="S54">
        <f>I54/100*Food_DB!$C$7</f>
        <v>62.5</v>
      </c>
      <c r="T54">
        <f>IFERROR(K54/100*VLOOKUP(J54,Food_DB!$A$2:$F$14,3,FALSE),0)</f>
        <v>550</v>
      </c>
      <c r="U54">
        <f>L54*Food_DB!$C$8</f>
        <v>270</v>
      </c>
      <c r="V54">
        <f t="shared" si="0"/>
        <v>0</v>
      </c>
      <c r="W54">
        <f t="shared" si="1"/>
        <v>1637.5</v>
      </c>
      <c r="X54">
        <f>D54*Food_DB!$D$2+E54/100*Food_DB!$D$3+F54/30*Food_DB!$D$4+G54*Food_DB!$D$5+H54/100*Food_DB!$D$6+I54/100*Food_DB!$D$7+IFERROR(K54/100*VLOOKUP(J54,Food_DB!$A$2:$F$14,4,FALSE),0)+L54*Food_DB!$D$8</f>
        <v>92.999999999999986</v>
      </c>
      <c r="Y54">
        <f>D54*Food_DB!$E$2+E54/100*Food_DB!$E$3+F54/30*Food_DB!$E$4+G54*Food_DB!$E$5+H54/100*Food_DB!$E$6+I54/100*Food_DB!$E$7+IFERROR(K54/100*VLOOKUP(J54,Food_DB!$A$2:$F$14,5,FALSE),0)+L54*Food_DB!$E$8</f>
        <v>63.6</v>
      </c>
      <c r="Z54">
        <f>D54*Food_DB!$F$2+E54/100*Food_DB!$F$3+F54/30*Food_DB!$F$4+G54*Food_DB!$F$5+H54/100*Food_DB!$F$6+I54/100*Food_DB!$F$7+IFERROR(K54/100*VLOOKUP(J54,Food_DB!$A$2:$F$14,6,FALSE),0)+L54*Food_DB!$F$8</f>
        <v>178.15</v>
      </c>
      <c r="AA54">
        <v>6.5</v>
      </c>
      <c r="AB54">
        <v>30</v>
      </c>
      <c r="AC54">
        <v>0</v>
      </c>
      <c r="AD54">
        <v>0</v>
      </c>
      <c r="AE54">
        <f>Dashboard!$B$6*AA54+Dashboard!$B$6*4*AB54/60+Dashboard!$B$6*8*AC54/120+Dashboard!$B$6*7*AD54</f>
        <v>680</v>
      </c>
      <c r="AF54">
        <f>Dashboard!$B$5</f>
        <v>1700</v>
      </c>
      <c r="AG54">
        <f t="shared" si="2"/>
        <v>2720</v>
      </c>
      <c r="AH54">
        <f t="shared" si="3"/>
        <v>-1082.5</v>
      </c>
    </row>
    <row r="55" spans="1:34">
      <c r="A55">
        <v>46231</v>
      </c>
      <c r="B55" t="s">
        <v>91</v>
      </c>
      <c r="C55" t="s">
        <v>89</v>
      </c>
      <c r="D55">
        <v>2</v>
      </c>
      <c r="E55">
        <v>400</v>
      </c>
      <c r="F55">
        <v>30</v>
      </c>
      <c r="G55">
        <v>1</v>
      </c>
      <c r="H55">
        <v>150</v>
      </c>
      <c r="I55">
        <v>250</v>
      </c>
      <c r="J55" t="s">
        <v>85</v>
      </c>
      <c r="K55">
        <v>250</v>
      </c>
      <c r="L55">
        <v>3</v>
      </c>
      <c r="M55">
        <v>0</v>
      </c>
      <c r="N55">
        <f>D55*Food_DB!$C$2</f>
        <v>150</v>
      </c>
      <c r="O55">
        <f>E55/100*Food_DB!$C$3</f>
        <v>260</v>
      </c>
      <c r="P55">
        <f>F55/30*Food_DB!$C$4</f>
        <v>111</v>
      </c>
      <c r="Q55">
        <f>G55*Food_DB!$C$5</f>
        <v>222</v>
      </c>
      <c r="R55">
        <f>H55/100*Food_DB!$C$6</f>
        <v>12</v>
      </c>
      <c r="S55">
        <f>I55/100*Food_DB!$C$7</f>
        <v>62.5</v>
      </c>
      <c r="T55">
        <f>IFERROR(K55/100*VLOOKUP(J55,Food_DB!$A$2:$F$14,3,FALSE),0)</f>
        <v>450</v>
      </c>
      <c r="U55">
        <f>L55*Food_DB!$C$8</f>
        <v>270</v>
      </c>
      <c r="V55">
        <f t="shared" si="0"/>
        <v>0</v>
      </c>
      <c r="W55">
        <f t="shared" si="1"/>
        <v>1537.5</v>
      </c>
      <c r="X55">
        <f>D55*Food_DB!$D$2+E55/100*Food_DB!$D$3+F55/30*Food_DB!$D$4+G55*Food_DB!$D$5+H55/100*Food_DB!$D$6+I55/100*Food_DB!$D$7+IFERROR(K55/100*VLOOKUP(J55,Food_DB!$A$2:$F$14,4,FALSE),0)+L55*Food_DB!$D$8</f>
        <v>92.999999999999986</v>
      </c>
      <c r="Y55">
        <f>D55*Food_DB!$E$2+E55/100*Food_DB!$E$3+F55/30*Food_DB!$E$4+G55*Food_DB!$E$5+H55/100*Food_DB!$E$6+I55/100*Food_DB!$E$7+IFERROR(K55/100*VLOOKUP(J55,Food_DB!$A$2:$F$14,5,FALSE),0)+L55*Food_DB!$E$8</f>
        <v>51.1</v>
      </c>
      <c r="Z55">
        <f>D55*Food_DB!$F$2+E55/100*Food_DB!$F$3+F55/30*Food_DB!$F$4+G55*Food_DB!$F$5+H55/100*Food_DB!$F$6+I55/100*Food_DB!$F$7+IFERROR(K55/100*VLOOKUP(J55,Food_DB!$A$2:$F$14,6,FALSE),0)+L55*Food_DB!$F$8</f>
        <v>178.15</v>
      </c>
      <c r="AA55">
        <v>6.5</v>
      </c>
      <c r="AB55">
        <v>30</v>
      </c>
      <c r="AC55">
        <v>0</v>
      </c>
      <c r="AD55">
        <v>0</v>
      </c>
      <c r="AE55">
        <f>Dashboard!$B$6*AA55+Dashboard!$B$6*4*AB55/60+Dashboard!$B$6*8*AC55/120+Dashboard!$B$6*7*AD55</f>
        <v>680</v>
      </c>
      <c r="AF55">
        <f>Dashboard!$B$5</f>
        <v>1700</v>
      </c>
      <c r="AG55">
        <f t="shared" si="2"/>
        <v>2720</v>
      </c>
      <c r="AH55">
        <f t="shared" si="3"/>
        <v>-1182.5</v>
      </c>
    </row>
    <row r="56" spans="1:34">
      <c r="A56">
        <v>46232</v>
      </c>
      <c r="B56" t="s">
        <v>92</v>
      </c>
      <c r="C56" t="s">
        <v>89</v>
      </c>
      <c r="D56">
        <v>2</v>
      </c>
      <c r="E56">
        <v>400</v>
      </c>
      <c r="F56">
        <v>30</v>
      </c>
      <c r="G56">
        <v>1</v>
      </c>
      <c r="H56">
        <v>150</v>
      </c>
      <c r="I56">
        <v>250</v>
      </c>
      <c r="J56" t="s">
        <v>87</v>
      </c>
      <c r="K56">
        <v>250</v>
      </c>
      <c r="L56">
        <v>3</v>
      </c>
      <c r="M56">
        <v>0</v>
      </c>
      <c r="N56">
        <f>D56*Food_DB!$C$2</f>
        <v>150</v>
      </c>
      <c r="O56">
        <f>E56/100*Food_DB!$C$3</f>
        <v>260</v>
      </c>
      <c r="P56">
        <f>F56/30*Food_DB!$C$4</f>
        <v>111</v>
      </c>
      <c r="Q56">
        <f>G56*Food_DB!$C$5</f>
        <v>222</v>
      </c>
      <c r="R56">
        <f>H56/100*Food_DB!$C$6</f>
        <v>12</v>
      </c>
      <c r="S56">
        <f>I56/100*Food_DB!$C$7</f>
        <v>62.5</v>
      </c>
      <c r="T56">
        <f>IFERROR(K56/100*VLOOKUP(J56,Food_DB!$A$2:$F$14,3,FALSE),0)</f>
        <v>300</v>
      </c>
      <c r="U56">
        <f>L56*Food_DB!$C$8</f>
        <v>270</v>
      </c>
      <c r="V56">
        <f t="shared" si="0"/>
        <v>0</v>
      </c>
      <c r="W56">
        <f t="shared" si="1"/>
        <v>1387.5</v>
      </c>
      <c r="X56">
        <f>D56*Food_DB!$D$2+E56/100*Food_DB!$D$3+F56/30*Food_DB!$D$4+G56*Food_DB!$D$5+H56/100*Food_DB!$D$6+I56/100*Food_DB!$D$7+IFERROR(K56/100*VLOOKUP(J56,Food_DB!$A$2:$F$14,4,FALSE),0)+L56*Food_DB!$D$8</f>
        <v>100.49999999999999</v>
      </c>
      <c r="Y56">
        <f>D56*Food_DB!$E$2+E56/100*Food_DB!$E$3+F56/30*Food_DB!$E$4+G56*Food_DB!$E$5+H56/100*Food_DB!$E$6+I56/100*Food_DB!$E$7+IFERROR(K56/100*VLOOKUP(J56,Food_DB!$A$2:$F$14,5,FALSE),0)+L56*Food_DB!$E$8</f>
        <v>32.35</v>
      </c>
      <c r="Z56">
        <f>D56*Food_DB!$F$2+E56/100*Food_DB!$F$3+F56/30*Food_DB!$F$4+G56*Food_DB!$F$5+H56/100*Food_DB!$F$6+I56/100*Food_DB!$F$7+IFERROR(K56/100*VLOOKUP(J56,Food_DB!$A$2:$F$14,6,FALSE),0)+L56*Food_DB!$F$8</f>
        <v>178.15</v>
      </c>
      <c r="AA56">
        <v>6.5</v>
      </c>
      <c r="AB56">
        <v>30</v>
      </c>
      <c r="AC56">
        <v>0</v>
      </c>
      <c r="AD56">
        <v>0</v>
      </c>
      <c r="AE56">
        <f>Dashboard!$B$6*AA56+Dashboard!$B$6*4*AB56/60+Dashboard!$B$6*8*AC56/120+Dashboard!$B$6*7*AD56</f>
        <v>680</v>
      </c>
      <c r="AF56">
        <f>Dashboard!$B$5</f>
        <v>1700</v>
      </c>
      <c r="AG56">
        <f t="shared" si="2"/>
        <v>2720</v>
      </c>
      <c r="AH56">
        <f t="shared" si="3"/>
        <v>-1332.5</v>
      </c>
    </row>
    <row r="57" spans="1:34">
      <c r="A57">
        <v>46233</v>
      </c>
      <c r="B57" t="s">
        <v>93</v>
      </c>
      <c r="C57" t="s">
        <v>89</v>
      </c>
      <c r="D57">
        <v>2</v>
      </c>
      <c r="E57">
        <v>400</v>
      </c>
      <c r="F57">
        <v>30</v>
      </c>
      <c r="G57">
        <v>1</v>
      </c>
      <c r="H57">
        <v>150</v>
      </c>
      <c r="I57">
        <v>250</v>
      </c>
      <c r="J57" t="s">
        <v>90</v>
      </c>
      <c r="K57">
        <v>250</v>
      </c>
      <c r="L57">
        <v>3</v>
      </c>
      <c r="M57">
        <v>0</v>
      </c>
      <c r="N57">
        <f>D57*Food_DB!$C$2</f>
        <v>150</v>
      </c>
      <c r="O57">
        <f>E57/100*Food_DB!$C$3</f>
        <v>260</v>
      </c>
      <c r="P57">
        <f>F57/30*Food_DB!$C$4</f>
        <v>111</v>
      </c>
      <c r="Q57">
        <f>G57*Food_DB!$C$5</f>
        <v>222</v>
      </c>
      <c r="R57">
        <f>H57/100*Food_DB!$C$6</f>
        <v>12</v>
      </c>
      <c r="S57">
        <f>I57/100*Food_DB!$C$7</f>
        <v>62.5</v>
      </c>
      <c r="T57">
        <f>IFERROR(K57/100*VLOOKUP(J57,Food_DB!$A$2:$F$14,3,FALSE),0)</f>
        <v>575</v>
      </c>
      <c r="U57">
        <f>L57*Food_DB!$C$8</f>
        <v>270</v>
      </c>
      <c r="V57">
        <f t="shared" si="0"/>
        <v>0</v>
      </c>
      <c r="W57">
        <f t="shared" si="1"/>
        <v>1662.5</v>
      </c>
      <c r="X57">
        <f>D57*Food_DB!$D$2+E57/100*Food_DB!$D$3+F57/30*Food_DB!$D$4+G57*Food_DB!$D$5+H57/100*Food_DB!$D$6+I57/100*Food_DB!$D$7+IFERROR(K57/100*VLOOKUP(J57,Food_DB!$A$2:$F$14,4,FALSE),0)+L57*Food_DB!$D$8</f>
        <v>87.999999999999986</v>
      </c>
      <c r="Y57">
        <f>D57*Food_DB!$E$2+E57/100*Food_DB!$E$3+F57/30*Food_DB!$E$4+G57*Food_DB!$E$5+H57/100*Food_DB!$E$6+I57/100*Food_DB!$E$7+IFERROR(K57/100*VLOOKUP(J57,Food_DB!$A$2:$F$14,5,FALSE),0)+L57*Food_DB!$E$8</f>
        <v>68.599999999999994</v>
      </c>
      <c r="Z57">
        <f>D57*Food_DB!$F$2+E57/100*Food_DB!$F$3+F57/30*Food_DB!$F$4+G57*Food_DB!$F$5+H57/100*Food_DB!$F$6+I57/100*Food_DB!$F$7+IFERROR(K57/100*VLOOKUP(J57,Food_DB!$A$2:$F$14,6,FALSE),0)+L57*Food_DB!$F$8</f>
        <v>178.15</v>
      </c>
      <c r="AA57">
        <v>6.5</v>
      </c>
      <c r="AB57">
        <v>30</v>
      </c>
      <c r="AC57">
        <v>0</v>
      </c>
      <c r="AD57">
        <v>0</v>
      </c>
      <c r="AE57">
        <f>Dashboard!$B$6*AA57+Dashboard!$B$6*4*AB57/60+Dashboard!$B$6*8*AC57/120+Dashboard!$B$6*7*AD57</f>
        <v>680</v>
      </c>
      <c r="AF57">
        <f>Dashboard!$B$5</f>
        <v>1700</v>
      </c>
      <c r="AG57">
        <f t="shared" si="2"/>
        <v>2720</v>
      </c>
      <c r="AH57">
        <f t="shared" si="3"/>
        <v>-1057.5</v>
      </c>
    </row>
    <row r="58" spans="1:34">
      <c r="A58">
        <v>46234</v>
      </c>
      <c r="B58" t="s">
        <v>80</v>
      </c>
      <c r="C58" t="s">
        <v>81</v>
      </c>
      <c r="D58">
        <v>2</v>
      </c>
      <c r="E58">
        <v>400</v>
      </c>
      <c r="F58">
        <v>30</v>
      </c>
      <c r="G58">
        <v>1</v>
      </c>
      <c r="H58">
        <v>150</v>
      </c>
      <c r="I58">
        <v>250</v>
      </c>
      <c r="J58" t="s">
        <v>82</v>
      </c>
      <c r="K58">
        <v>250</v>
      </c>
      <c r="L58">
        <v>3</v>
      </c>
      <c r="M58">
        <v>1000</v>
      </c>
      <c r="N58">
        <f>D58*Food_DB!$C$2</f>
        <v>150</v>
      </c>
      <c r="O58">
        <f>E58/100*Food_DB!$C$3</f>
        <v>260</v>
      </c>
      <c r="P58">
        <f>F58/30*Food_DB!$C$4</f>
        <v>111</v>
      </c>
      <c r="Q58">
        <f>G58*Food_DB!$C$5</f>
        <v>222</v>
      </c>
      <c r="R58">
        <f>H58/100*Food_DB!$C$6</f>
        <v>12</v>
      </c>
      <c r="S58">
        <f>I58/100*Food_DB!$C$7</f>
        <v>62.5</v>
      </c>
      <c r="T58">
        <f>IFERROR(K58/100*VLOOKUP(J58,Food_DB!$A$2:$F$14,3,FALSE),0)</f>
        <v>550</v>
      </c>
      <c r="U58">
        <f>L58*Food_DB!$C$8</f>
        <v>270</v>
      </c>
      <c r="V58">
        <f t="shared" si="0"/>
        <v>1000</v>
      </c>
      <c r="W58">
        <f t="shared" si="1"/>
        <v>2637.5</v>
      </c>
      <c r="X58">
        <f>D58*Food_DB!$D$2+E58/100*Food_DB!$D$3+F58/30*Food_DB!$D$4+G58*Food_DB!$D$5+H58/100*Food_DB!$D$6+I58/100*Food_DB!$D$7+IFERROR(K58/100*VLOOKUP(J58,Food_DB!$A$2:$F$14,4,FALSE),0)+L58*Food_DB!$D$8</f>
        <v>92.999999999999986</v>
      </c>
      <c r="Y58">
        <f>D58*Food_DB!$E$2+E58/100*Food_DB!$E$3+F58/30*Food_DB!$E$4+G58*Food_DB!$E$5+H58/100*Food_DB!$E$6+I58/100*Food_DB!$E$7+IFERROR(K58/100*VLOOKUP(J58,Food_DB!$A$2:$F$14,5,FALSE),0)+L58*Food_DB!$E$8</f>
        <v>63.6</v>
      </c>
      <c r="Z58">
        <f>D58*Food_DB!$F$2+E58/100*Food_DB!$F$3+F58/30*Food_DB!$F$4+G58*Food_DB!$F$5+H58/100*Food_DB!$F$6+I58/100*Food_DB!$F$7+IFERROR(K58/100*VLOOKUP(J58,Food_DB!$A$2:$F$14,6,FALSE),0)+L58*Food_DB!$F$8</f>
        <v>178.15</v>
      </c>
      <c r="AA58">
        <v>6.5</v>
      </c>
      <c r="AB58">
        <v>30</v>
      </c>
      <c r="AC58">
        <v>0</v>
      </c>
      <c r="AD58">
        <v>0</v>
      </c>
      <c r="AE58">
        <f>Dashboard!$B$6*AA58+Dashboard!$B$6*4*AB58/60+Dashboard!$B$6*8*AC58/120+Dashboard!$B$6*7*AD58</f>
        <v>680</v>
      </c>
      <c r="AF58">
        <f>Dashboard!$B$5</f>
        <v>1700</v>
      </c>
      <c r="AG58">
        <f t="shared" si="2"/>
        <v>2720</v>
      </c>
      <c r="AH58">
        <f t="shared" si="3"/>
        <v>-82.5</v>
      </c>
    </row>
    <row r="59" spans="1:34">
      <c r="A59">
        <v>46235</v>
      </c>
      <c r="B59" t="s">
        <v>83</v>
      </c>
      <c r="C59" t="s">
        <v>84</v>
      </c>
      <c r="D59">
        <v>2</v>
      </c>
      <c r="E59">
        <v>400</v>
      </c>
      <c r="F59">
        <v>30</v>
      </c>
      <c r="G59">
        <v>1</v>
      </c>
      <c r="H59">
        <v>150</v>
      </c>
      <c r="I59">
        <v>250</v>
      </c>
      <c r="J59" t="s">
        <v>85</v>
      </c>
      <c r="K59">
        <v>250</v>
      </c>
      <c r="L59">
        <v>3</v>
      </c>
      <c r="M59">
        <v>0</v>
      </c>
      <c r="N59">
        <f>D59*Food_DB!$C$2</f>
        <v>150</v>
      </c>
      <c r="O59">
        <f>E59/100*Food_DB!$C$3</f>
        <v>260</v>
      </c>
      <c r="P59">
        <f>F59/30*Food_DB!$C$4</f>
        <v>111</v>
      </c>
      <c r="Q59">
        <f>G59*Food_DB!$C$5</f>
        <v>222</v>
      </c>
      <c r="R59">
        <f>H59/100*Food_DB!$C$6</f>
        <v>12</v>
      </c>
      <c r="S59">
        <f>I59/100*Food_DB!$C$7</f>
        <v>62.5</v>
      </c>
      <c r="T59">
        <f>IFERROR(K59/100*VLOOKUP(J59,Food_DB!$A$2:$F$14,3,FALSE),0)</f>
        <v>450</v>
      </c>
      <c r="U59">
        <f>L59*Food_DB!$C$8</f>
        <v>270</v>
      </c>
      <c r="V59">
        <f t="shared" si="0"/>
        <v>0</v>
      </c>
      <c r="W59">
        <f t="shared" si="1"/>
        <v>1537.5</v>
      </c>
      <c r="X59">
        <f>D59*Food_DB!$D$2+E59/100*Food_DB!$D$3+F59/30*Food_DB!$D$4+G59*Food_DB!$D$5+H59/100*Food_DB!$D$6+I59/100*Food_DB!$D$7+IFERROR(K59/100*VLOOKUP(J59,Food_DB!$A$2:$F$14,4,FALSE),0)+L59*Food_DB!$D$8</f>
        <v>92.999999999999986</v>
      </c>
      <c r="Y59">
        <f>D59*Food_DB!$E$2+E59/100*Food_DB!$E$3+F59/30*Food_DB!$E$4+G59*Food_DB!$E$5+H59/100*Food_DB!$E$6+I59/100*Food_DB!$E$7+IFERROR(K59/100*VLOOKUP(J59,Food_DB!$A$2:$F$14,5,FALSE),0)+L59*Food_DB!$E$8</f>
        <v>51.1</v>
      </c>
      <c r="Z59">
        <f>D59*Food_DB!$F$2+E59/100*Food_DB!$F$3+F59/30*Food_DB!$F$4+G59*Food_DB!$F$5+H59/100*Food_DB!$F$6+I59/100*Food_DB!$F$7+IFERROR(K59/100*VLOOKUP(J59,Food_DB!$A$2:$F$14,6,FALSE),0)+L59*Food_DB!$F$8</f>
        <v>178.15</v>
      </c>
      <c r="AA59">
        <v>0</v>
      </c>
      <c r="AB59">
        <v>0</v>
      </c>
      <c r="AC59">
        <v>0</v>
      </c>
      <c r="AD59">
        <v>3.5</v>
      </c>
      <c r="AE59">
        <f>Dashboard!$B$6*AA59+Dashboard!$B$6*4*AB59/60+Dashboard!$B$6*8*AC59/120+Dashboard!$B$6*7*AD59</f>
        <v>1960</v>
      </c>
      <c r="AF59">
        <f>Dashboard!$B$5</f>
        <v>1700</v>
      </c>
      <c r="AG59">
        <f t="shared" si="2"/>
        <v>4000</v>
      </c>
      <c r="AH59">
        <f t="shared" si="3"/>
        <v>-2462.5</v>
      </c>
    </row>
    <row r="60" spans="1:34">
      <c r="A60">
        <v>46236</v>
      </c>
      <c r="B60" t="s">
        <v>86</v>
      </c>
      <c r="C60" t="s">
        <v>84</v>
      </c>
      <c r="D60">
        <v>2</v>
      </c>
      <c r="E60">
        <v>400</v>
      </c>
      <c r="F60">
        <v>30</v>
      </c>
      <c r="G60">
        <v>1</v>
      </c>
      <c r="H60">
        <v>150</v>
      </c>
      <c r="I60">
        <v>250</v>
      </c>
      <c r="J60" t="s">
        <v>87</v>
      </c>
      <c r="K60">
        <v>250</v>
      </c>
      <c r="L60">
        <v>3</v>
      </c>
      <c r="M60">
        <v>0</v>
      </c>
      <c r="N60">
        <f>D60*Food_DB!$C$2</f>
        <v>150</v>
      </c>
      <c r="O60">
        <f>E60/100*Food_DB!$C$3</f>
        <v>260</v>
      </c>
      <c r="P60">
        <f>F60/30*Food_DB!$C$4</f>
        <v>111</v>
      </c>
      <c r="Q60">
        <f>G60*Food_DB!$C$5</f>
        <v>222</v>
      </c>
      <c r="R60">
        <f>H60/100*Food_DB!$C$6</f>
        <v>12</v>
      </c>
      <c r="S60">
        <f>I60/100*Food_DB!$C$7</f>
        <v>62.5</v>
      </c>
      <c r="T60">
        <f>IFERROR(K60/100*VLOOKUP(J60,Food_DB!$A$2:$F$14,3,FALSE),0)</f>
        <v>300</v>
      </c>
      <c r="U60">
        <f>L60*Food_DB!$C$8</f>
        <v>270</v>
      </c>
      <c r="V60">
        <f t="shared" si="0"/>
        <v>0</v>
      </c>
      <c r="W60">
        <f t="shared" si="1"/>
        <v>1387.5</v>
      </c>
      <c r="X60">
        <f>D60*Food_DB!$D$2+E60/100*Food_DB!$D$3+F60/30*Food_DB!$D$4+G60*Food_DB!$D$5+H60/100*Food_DB!$D$6+I60/100*Food_DB!$D$7+IFERROR(K60/100*VLOOKUP(J60,Food_DB!$A$2:$F$14,4,FALSE),0)+L60*Food_DB!$D$8</f>
        <v>100.49999999999999</v>
      </c>
      <c r="Y60">
        <f>D60*Food_DB!$E$2+E60/100*Food_DB!$E$3+F60/30*Food_DB!$E$4+G60*Food_DB!$E$5+H60/100*Food_DB!$E$6+I60/100*Food_DB!$E$7+IFERROR(K60/100*VLOOKUP(J60,Food_DB!$A$2:$F$14,5,FALSE),0)+L60*Food_DB!$E$8</f>
        <v>32.35</v>
      </c>
      <c r="Z60">
        <f>D60*Food_DB!$F$2+E60/100*Food_DB!$F$3+F60/30*Food_DB!$F$4+G60*Food_DB!$F$5+H60/100*Food_DB!$F$6+I60/100*Food_DB!$F$7+IFERROR(K60/100*VLOOKUP(J60,Food_DB!$A$2:$F$14,6,FALSE),0)+L60*Food_DB!$F$8</f>
        <v>178.15</v>
      </c>
      <c r="AA60">
        <v>0</v>
      </c>
      <c r="AB60">
        <v>0</v>
      </c>
      <c r="AC60">
        <v>0</v>
      </c>
      <c r="AD60">
        <v>3.5</v>
      </c>
      <c r="AE60">
        <f>Dashboard!$B$6*AA60+Dashboard!$B$6*4*AB60/60+Dashboard!$B$6*8*AC60/120+Dashboard!$B$6*7*AD60</f>
        <v>1960</v>
      </c>
      <c r="AF60">
        <f>Dashboard!$B$5</f>
        <v>1700</v>
      </c>
      <c r="AG60">
        <f t="shared" si="2"/>
        <v>4000</v>
      </c>
      <c r="AH60">
        <f t="shared" si="3"/>
        <v>-2612.5</v>
      </c>
    </row>
    <row r="61" spans="1:34">
      <c r="A61">
        <v>46237</v>
      </c>
      <c r="B61" t="s">
        <v>88</v>
      </c>
      <c r="C61" t="s">
        <v>89</v>
      </c>
      <c r="D61">
        <v>2</v>
      </c>
      <c r="E61">
        <v>400</v>
      </c>
      <c r="F61">
        <v>30</v>
      </c>
      <c r="G61">
        <v>1</v>
      </c>
      <c r="H61">
        <v>150</v>
      </c>
      <c r="I61">
        <v>250</v>
      </c>
      <c r="J61" t="s">
        <v>90</v>
      </c>
      <c r="K61">
        <v>250</v>
      </c>
      <c r="L61">
        <v>3</v>
      </c>
      <c r="M61">
        <v>0</v>
      </c>
      <c r="N61">
        <f>D61*Food_DB!$C$2</f>
        <v>150</v>
      </c>
      <c r="O61">
        <f>E61/100*Food_DB!$C$3</f>
        <v>260</v>
      </c>
      <c r="P61">
        <f>F61/30*Food_DB!$C$4</f>
        <v>111</v>
      </c>
      <c r="Q61">
        <f>G61*Food_DB!$C$5</f>
        <v>222</v>
      </c>
      <c r="R61">
        <f>H61/100*Food_DB!$C$6</f>
        <v>12</v>
      </c>
      <c r="S61">
        <f>I61/100*Food_DB!$C$7</f>
        <v>62.5</v>
      </c>
      <c r="T61">
        <f>IFERROR(K61/100*VLOOKUP(J61,Food_DB!$A$2:$F$14,3,FALSE),0)</f>
        <v>575</v>
      </c>
      <c r="U61">
        <f>L61*Food_DB!$C$8</f>
        <v>270</v>
      </c>
      <c r="V61">
        <f t="shared" si="0"/>
        <v>0</v>
      </c>
      <c r="W61">
        <f t="shared" si="1"/>
        <v>1662.5</v>
      </c>
      <c r="X61">
        <f>D61*Food_DB!$D$2+E61/100*Food_DB!$D$3+F61/30*Food_DB!$D$4+G61*Food_DB!$D$5+H61/100*Food_DB!$D$6+I61/100*Food_DB!$D$7+IFERROR(K61/100*VLOOKUP(J61,Food_DB!$A$2:$F$14,4,FALSE),0)+L61*Food_DB!$D$8</f>
        <v>87.999999999999986</v>
      </c>
      <c r="Y61">
        <f>D61*Food_DB!$E$2+E61/100*Food_DB!$E$3+F61/30*Food_DB!$E$4+G61*Food_DB!$E$5+H61/100*Food_DB!$E$6+I61/100*Food_DB!$E$7+IFERROR(K61/100*VLOOKUP(J61,Food_DB!$A$2:$F$14,5,FALSE),0)+L61*Food_DB!$E$8</f>
        <v>68.599999999999994</v>
      </c>
      <c r="Z61">
        <f>D61*Food_DB!$F$2+E61/100*Food_DB!$F$3+F61/30*Food_DB!$F$4+G61*Food_DB!$F$5+H61/100*Food_DB!$F$6+I61/100*Food_DB!$F$7+IFERROR(K61/100*VLOOKUP(J61,Food_DB!$A$2:$F$14,6,FALSE),0)+L61*Food_DB!$F$8</f>
        <v>178.15</v>
      </c>
      <c r="AA61">
        <v>6.5</v>
      </c>
      <c r="AB61">
        <v>30</v>
      </c>
      <c r="AC61">
        <v>0</v>
      </c>
      <c r="AD61">
        <v>0</v>
      </c>
      <c r="AE61">
        <f>Dashboard!$B$6*AA61+Dashboard!$B$6*4*AB61/60+Dashboard!$B$6*8*AC61/120+Dashboard!$B$6*7*AD61</f>
        <v>680</v>
      </c>
      <c r="AF61">
        <f>Dashboard!$B$5</f>
        <v>1700</v>
      </c>
      <c r="AG61">
        <f t="shared" si="2"/>
        <v>2720</v>
      </c>
      <c r="AH61">
        <f t="shared" si="3"/>
        <v>-1057.5</v>
      </c>
    </row>
    <row r="62" spans="1:34">
      <c r="A62">
        <v>46238</v>
      </c>
      <c r="B62" t="s">
        <v>91</v>
      </c>
      <c r="C62" t="s">
        <v>89</v>
      </c>
      <c r="D62">
        <v>2</v>
      </c>
      <c r="E62">
        <v>400</v>
      </c>
      <c r="F62">
        <v>30</v>
      </c>
      <c r="G62">
        <v>1</v>
      </c>
      <c r="H62">
        <v>150</v>
      </c>
      <c r="I62">
        <v>250</v>
      </c>
      <c r="J62" t="s">
        <v>82</v>
      </c>
      <c r="K62">
        <v>250</v>
      </c>
      <c r="L62">
        <v>3</v>
      </c>
      <c r="M62">
        <v>0</v>
      </c>
      <c r="N62">
        <f>D62*Food_DB!$C$2</f>
        <v>150</v>
      </c>
      <c r="O62">
        <f>E62/100*Food_DB!$C$3</f>
        <v>260</v>
      </c>
      <c r="P62">
        <f>F62/30*Food_DB!$C$4</f>
        <v>111</v>
      </c>
      <c r="Q62">
        <f>G62*Food_DB!$C$5</f>
        <v>222</v>
      </c>
      <c r="R62">
        <f>H62/100*Food_DB!$C$6</f>
        <v>12</v>
      </c>
      <c r="S62">
        <f>I62/100*Food_DB!$C$7</f>
        <v>62.5</v>
      </c>
      <c r="T62">
        <f>IFERROR(K62/100*VLOOKUP(J62,Food_DB!$A$2:$F$14,3,FALSE),0)</f>
        <v>550</v>
      </c>
      <c r="U62">
        <f>L62*Food_DB!$C$8</f>
        <v>270</v>
      </c>
      <c r="V62">
        <f t="shared" si="0"/>
        <v>0</v>
      </c>
      <c r="W62">
        <f t="shared" si="1"/>
        <v>1637.5</v>
      </c>
      <c r="X62">
        <f>D62*Food_DB!$D$2+E62/100*Food_DB!$D$3+F62/30*Food_DB!$D$4+G62*Food_DB!$D$5+H62/100*Food_DB!$D$6+I62/100*Food_DB!$D$7+IFERROR(K62/100*VLOOKUP(J62,Food_DB!$A$2:$F$14,4,FALSE),0)+L62*Food_DB!$D$8</f>
        <v>92.999999999999986</v>
      </c>
      <c r="Y62">
        <f>D62*Food_DB!$E$2+E62/100*Food_DB!$E$3+F62/30*Food_DB!$E$4+G62*Food_DB!$E$5+H62/100*Food_DB!$E$6+I62/100*Food_DB!$E$7+IFERROR(K62/100*VLOOKUP(J62,Food_DB!$A$2:$F$14,5,FALSE),0)+L62*Food_DB!$E$8</f>
        <v>63.6</v>
      </c>
      <c r="Z62">
        <f>D62*Food_DB!$F$2+E62/100*Food_DB!$F$3+F62/30*Food_DB!$F$4+G62*Food_DB!$F$5+H62/100*Food_DB!$F$6+I62/100*Food_DB!$F$7+IFERROR(K62/100*VLOOKUP(J62,Food_DB!$A$2:$F$14,6,FALSE),0)+L62*Food_DB!$F$8</f>
        <v>178.15</v>
      </c>
      <c r="AA62">
        <v>6.5</v>
      </c>
      <c r="AB62">
        <v>30</v>
      </c>
      <c r="AC62">
        <v>0</v>
      </c>
      <c r="AD62">
        <v>0</v>
      </c>
      <c r="AE62">
        <f>Dashboard!$B$6*AA62+Dashboard!$B$6*4*AB62/60+Dashboard!$B$6*8*AC62/120+Dashboard!$B$6*7*AD62</f>
        <v>680</v>
      </c>
      <c r="AF62">
        <f>Dashboard!$B$5</f>
        <v>1700</v>
      </c>
      <c r="AG62">
        <f t="shared" si="2"/>
        <v>2720</v>
      </c>
      <c r="AH62">
        <f t="shared" si="3"/>
        <v>-1082.5</v>
      </c>
    </row>
    <row r="63" spans="1:34">
      <c r="A63">
        <v>46239</v>
      </c>
      <c r="B63" t="s">
        <v>92</v>
      </c>
      <c r="C63" t="s">
        <v>89</v>
      </c>
      <c r="D63">
        <v>2</v>
      </c>
      <c r="E63">
        <v>400</v>
      </c>
      <c r="F63">
        <v>30</v>
      </c>
      <c r="G63">
        <v>1</v>
      </c>
      <c r="H63">
        <v>150</v>
      </c>
      <c r="I63">
        <v>250</v>
      </c>
      <c r="J63" t="s">
        <v>85</v>
      </c>
      <c r="K63">
        <v>250</v>
      </c>
      <c r="L63">
        <v>3</v>
      </c>
      <c r="M63">
        <v>0</v>
      </c>
      <c r="N63">
        <f>D63*Food_DB!$C$2</f>
        <v>150</v>
      </c>
      <c r="O63">
        <f>E63/100*Food_DB!$C$3</f>
        <v>260</v>
      </c>
      <c r="P63">
        <f>F63/30*Food_DB!$C$4</f>
        <v>111</v>
      </c>
      <c r="Q63">
        <f>G63*Food_DB!$C$5</f>
        <v>222</v>
      </c>
      <c r="R63">
        <f>H63/100*Food_DB!$C$6</f>
        <v>12</v>
      </c>
      <c r="S63">
        <f>I63/100*Food_DB!$C$7</f>
        <v>62.5</v>
      </c>
      <c r="T63">
        <f>IFERROR(K63/100*VLOOKUP(J63,Food_DB!$A$2:$F$14,3,FALSE),0)</f>
        <v>450</v>
      </c>
      <c r="U63">
        <f>L63*Food_DB!$C$8</f>
        <v>270</v>
      </c>
      <c r="V63">
        <f t="shared" si="0"/>
        <v>0</v>
      </c>
      <c r="W63">
        <f t="shared" si="1"/>
        <v>1537.5</v>
      </c>
      <c r="X63">
        <f>D63*Food_DB!$D$2+E63/100*Food_DB!$D$3+F63/30*Food_DB!$D$4+G63*Food_DB!$D$5+H63/100*Food_DB!$D$6+I63/100*Food_DB!$D$7+IFERROR(K63/100*VLOOKUP(J63,Food_DB!$A$2:$F$14,4,FALSE),0)+L63*Food_DB!$D$8</f>
        <v>92.999999999999986</v>
      </c>
      <c r="Y63">
        <f>D63*Food_DB!$E$2+E63/100*Food_DB!$E$3+F63/30*Food_DB!$E$4+G63*Food_DB!$E$5+H63/100*Food_DB!$E$6+I63/100*Food_DB!$E$7+IFERROR(K63/100*VLOOKUP(J63,Food_DB!$A$2:$F$14,5,FALSE),0)+L63*Food_DB!$E$8</f>
        <v>51.1</v>
      </c>
      <c r="Z63">
        <f>D63*Food_DB!$F$2+E63/100*Food_DB!$F$3+F63/30*Food_DB!$F$4+G63*Food_DB!$F$5+H63/100*Food_DB!$F$6+I63/100*Food_DB!$F$7+IFERROR(K63/100*VLOOKUP(J63,Food_DB!$A$2:$F$14,6,FALSE),0)+L63*Food_DB!$F$8</f>
        <v>178.15</v>
      </c>
      <c r="AA63">
        <v>6.5</v>
      </c>
      <c r="AB63">
        <v>30</v>
      </c>
      <c r="AC63">
        <v>0</v>
      </c>
      <c r="AD63">
        <v>0</v>
      </c>
      <c r="AE63">
        <f>Dashboard!$B$6*AA63+Dashboard!$B$6*4*AB63/60+Dashboard!$B$6*8*AC63/120+Dashboard!$B$6*7*AD63</f>
        <v>680</v>
      </c>
      <c r="AF63">
        <f>Dashboard!$B$5</f>
        <v>1700</v>
      </c>
      <c r="AG63">
        <f t="shared" si="2"/>
        <v>2720</v>
      </c>
      <c r="AH63">
        <f t="shared" si="3"/>
        <v>-1182.5</v>
      </c>
    </row>
    <row r="64" spans="1:34">
      <c r="A64">
        <v>46240</v>
      </c>
      <c r="B64" t="s">
        <v>93</v>
      </c>
      <c r="C64" t="s">
        <v>89</v>
      </c>
      <c r="D64">
        <v>2</v>
      </c>
      <c r="E64">
        <v>400</v>
      </c>
      <c r="F64">
        <v>30</v>
      </c>
      <c r="G64">
        <v>1</v>
      </c>
      <c r="H64">
        <v>150</v>
      </c>
      <c r="I64">
        <v>250</v>
      </c>
      <c r="J64" t="s">
        <v>87</v>
      </c>
      <c r="K64">
        <v>250</v>
      </c>
      <c r="L64">
        <v>3</v>
      </c>
      <c r="M64">
        <v>0</v>
      </c>
      <c r="N64">
        <f>D64*Food_DB!$C$2</f>
        <v>150</v>
      </c>
      <c r="O64">
        <f>E64/100*Food_DB!$C$3</f>
        <v>260</v>
      </c>
      <c r="P64">
        <f>F64/30*Food_DB!$C$4</f>
        <v>111</v>
      </c>
      <c r="Q64">
        <f>G64*Food_DB!$C$5</f>
        <v>222</v>
      </c>
      <c r="R64">
        <f>H64/100*Food_DB!$C$6</f>
        <v>12</v>
      </c>
      <c r="S64">
        <f>I64/100*Food_DB!$C$7</f>
        <v>62.5</v>
      </c>
      <c r="T64">
        <f>IFERROR(K64/100*VLOOKUP(J64,Food_DB!$A$2:$F$14,3,FALSE),0)</f>
        <v>300</v>
      </c>
      <c r="U64">
        <f>L64*Food_DB!$C$8</f>
        <v>270</v>
      </c>
      <c r="V64">
        <f t="shared" si="0"/>
        <v>0</v>
      </c>
      <c r="W64">
        <f t="shared" si="1"/>
        <v>1387.5</v>
      </c>
      <c r="X64">
        <f>D64*Food_DB!$D$2+E64/100*Food_DB!$D$3+F64/30*Food_DB!$D$4+G64*Food_DB!$D$5+H64/100*Food_DB!$D$6+I64/100*Food_DB!$D$7+IFERROR(K64/100*VLOOKUP(J64,Food_DB!$A$2:$F$14,4,FALSE),0)+L64*Food_DB!$D$8</f>
        <v>100.49999999999999</v>
      </c>
      <c r="Y64">
        <f>D64*Food_DB!$E$2+E64/100*Food_DB!$E$3+F64/30*Food_DB!$E$4+G64*Food_DB!$E$5+H64/100*Food_DB!$E$6+I64/100*Food_DB!$E$7+IFERROR(K64/100*VLOOKUP(J64,Food_DB!$A$2:$F$14,5,FALSE),0)+L64*Food_DB!$E$8</f>
        <v>32.35</v>
      </c>
      <c r="Z64">
        <f>D64*Food_DB!$F$2+E64/100*Food_DB!$F$3+F64/30*Food_DB!$F$4+G64*Food_DB!$F$5+H64/100*Food_DB!$F$6+I64/100*Food_DB!$F$7+IFERROR(K64/100*VLOOKUP(J64,Food_DB!$A$2:$F$14,6,FALSE),0)+L64*Food_DB!$F$8</f>
        <v>178.15</v>
      </c>
      <c r="AA64">
        <v>6.5</v>
      </c>
      <c r="AB64">
        <v>30</v>
      </c>
      <c r="AC64">
        <v>0</v>
      </c>
      <c r="AD64">
        <v>0</v>
      </c>
      <c r="AE64">
        <f>Dashboard!$B$6*AA64+Dashboard!$B$6*4*AB64/60+Dashboard!$B$6*8*AC64/120+Dashboard!$B$6*7*AD64</f>
        <v>680</v>
      </c>
      <c r="AF64">
        <f>Dashboard!$B$5</f>
        <v>1700</v>
      </c>
      <c r="AG64">
        <f t="shared" si="2"/>
        <v>2720</v>
      </c>
      <c r="AH64">
        <f t="shared" si="3"/>
        <v>-1332.5</v>
      </c>
    </row>
    <row r="65" spans="1:34">
      <c r="A65">
        <v>46241</v>
      </c>
      <c r="B65" t="s">
        <v>80</v>
      </c>
      <c r="C65" t="s">
        <v>81</v>
      </c>
      <c r="D65">
        <v>2</v>
      </c>
      <c r="E65">
        <v>400</v>
      </c>
      <c r="F65">
        <v>30</v>
      </c>
      <c r="G65">
        <v>1</v>
      </c>
      <c r="H65">
        <v>150</v>
      </c>
      <c r="I65">
        <v>250</v>
      </c>
      <c r="J65" t="s">
        <v>90</v>
      </c>
      <c r="K65">
        <v>250</v>
      </c>
      <c r="L65">
        <v>3</v>
      </c>
      <c r="M65">
        <v>1000</v>
      </c>
      <c r="N65">
        <f>D65*Food_DB!$C$2</f>
        <v>150</v>
      </c>
      <c r="O65">
        <f>E65/100*Food_DB!$C$3</f>
        <v>260</v>
      </c>
      <c r="P65">
        <f>F65/30*Food_DB!$C$4</f>
        <v>111</v>
      </c>
      <c r="Q65">
        <f>G65*Food_DB!$C$5</f>
        <v>222</v>
      </c>
      <c r="R65">
        <f>H65/100*Food_DB!$C$6</f>
        <v>12</v>
      </c>
      <c r="S65">
        <f>I65/100*Food_DB!$C$7</f>
        <v>62.5</v>
      </c>
      <c r="T65">
        <f>IFERROR(K65/100*VLOOKUP(J65,Food_DB!$A$2:$F$14,3,FALSE),0)</f>
        <v>575</v>
      </c>
      <c r="U65">
        <f>L65*Food_DB!$C$8</f>
        <v>270</v>
      </c>
      <c r="V65">
        <f t="shared" si="0"/>
        <v>1000</v>
      </c>
      <c r="W65">
        <f t="shared" si="1"/>
        <v>2662.5</v>
      </c>
      <c r="X65">
        <f>D65*Food_DB!$D$2+E65/100*Food_DB!$D$3+F65/30*Food_DB!$D$4+G65*Food_DB!$D$5+H65/100*Food_DB!$D$6+I65/100*Food_DB!$D$7+IFERROR(K65/100*VLOOKUP(J65,Food_DB!$A$2:$F$14,4,FALSE),0)+L65*Food_DB!$D$8</f>
        <v>87.999999999999986</v>
      </c>
      <c r="Y65">
        <f>D65*Food_DB!$E$2+E65/100*Food_DB!$E$3+F65/30*Food_DB!$E$4+G65*Food_DB!$E$5+H65/100*Food_DB!$E$6+I65/100*Food_DB!$E$7+IFERROR(K65/100*VLOOKUP(J65,Food_DB!$A$2:$F$14,5,FALSE),0)+L65*Food_DB!$E$8</f>
        <v>68.599999999999994</v>
      </c>
      <c r="Z65">
        <f>D65*Food_DB!$F$2+E65/100*Food_DB!$F$3+F65/30*Food_DB!$F$4+G65*Food_DB!$F$5+H65/100*Food_DB!$F$6+I65/100*Food_DB!$F$7+IFERROR(K65/100*VLOOKUP(J65,Food_DB!$A$2:$F$14,6,FALSE),0)+L65*Food_DB!$F$8</f>
        <v>178.15</v>
      </c>
      <c r="AA65">
        <v>6.5</v>
      </c>
      <c r="AB65">
        <v>30</v>
      </c>
      <c r="AC65">
        <v>0</v>
      </c>
      <c r="AD65">
        <v>0</v>
      </c>
      <c r="AE65">
        <f>Dashboard!$B$6*AA65+Dashboard!$B$6*4*AB65/60+Dashboard!$B$6*8*AC65/120+Dashboard!$B$6*7*AD65</f>
        <v>680</v>
      </c>
      <c r="AF65">
        <f>Dashboard!$B$5</f>
        <v>1700</v>
      </c>
      <c r="AG65">
        <f t="shared" si="2"/>
        <v>2720</v>
      </c>
      <c r="AH65">
        <f t="shared" si="3"/>
        <v>-57.5</v>
      </c>
    </row>
    <row r="66" spans="1:34">
      <c r="A66">
        <v>46242</v>
      </c>
      <c r="B66" t="s">
        <v>83</v>
      </c>
      <c r="C66" t="s">
        <v>84</v>
      </c>
      <c r="D66">
        <v>2</v>
      </c>
      <c r="E66">
        <v>400</v>
      </c>
      <c r="F66">
        <v>30</v>
      </c>
      <c r="G66">
        <v>1</v>
      </c>
      <c r="H66">
        <v>150</v>
      </c>
      <c r="I66">
        <v>250</v>
      </c>
      <c r="J66" t="s">
        <v>82</v>
      </c>
      <c r="K66">
        <v>250</v>
      </c>
      <c r="L66">
        <v>3</v>
      </c>
      <c r="M66">
        <v>0</v>
      </c>
      <c r="N66">
        <f>D66*Food_DB!$C$2</f>
        <v>150</v>
      </c>
      <c r="O66">
        <f>E66/100*Food_DB!$C$3</f>
        <v>260</v>
      </c>
      <c r="P66">
        <f>F66/30*Food_DB!$C$4</f>
        <v>111</v>
      </c>
      <c r="Q66">
        <f>G66*Food_DB!$C$5</f>
        <v>222</v>
      </c>
      <c r="R66">
        <f>H66/100*Food_DB!$C$6</f>
        <v>12</v>
      </c>
      <c r="S66">
        <f>I66/100*Food_DB!$C$7</f>
        <v>62.5</v>
      </c>
      <c r="T66">
        <f>IFERROR(K66/100*VLOOKUP(J66,Food_DB!$A$2:$F$14,3,FALSE),0)</f>
        <v>550</v>
      </c>
      <c r="U66">
        <f>L66*Food_DB!$C$8</f>
        <v>270</v>
      </c>
      <c r="V66">
        <f t="shared" ref="V66:V129" si="4">M66</f>
        <v>0</v>
      </c>
      <c r="W66">
        <f t="shared" ref="W66:W129" si="5">SUM(N66:V66)</f>
        <v>1637.5</v>
      </c>
      <c r="X66">
        <f>D66*Food_DB!$D$2+E66/100*Food_DB!$D$3+F66/30*Food_DB!$D$4+G66*Food_DB!$D$5+H66/100*Food_DB!$D$6+I66/100*Food_DB!$D$7+IFERROR(K66/100*VLOOKUP(J66,Food_DB!$A$2:$F$14,4,FALSE),0)+L66*Food_DB!$D$8</f>
        <v>92.999999999999986</v>
      </c>
      <c r="Y66">
        <f>D66*Food_DB!$E$2+E66/100*Food_DB!$E$3+F66/30*Food_DB!$E$4+G66*Food_DB!$E$5+H66/100*Food_DB!$E$6+I66/100*Food_DB!$E$7+IFERROR(K66/100*VLOOKUP(J66,Food_DB!$A$2:$F$14,5,FALSE),0)+L66*Food_DB!$E$8</f>
        <v>63.6</v>
      </c>
      <c r="Z66">
        <f>D66*Food_DB!$F$2+E66/100*Food_DB!$F$3+F66/30*Food_DB!$F$4+G66*Food_DB!$F$5+H66/100*Food_DB!$F$6+I66/100*Food_DB!$F$7+IFERROR(K66/100*VLOOKUP(J66,Food_DB!$A$2:$F$14,6,FALSE),0)+L66*Food_DB!$F$8</f>
        <v>178.15</v>
      </c>
      <c r="AA66">
        <v>0</v>
      </c>
      <c r="AB66">
        <v>0</v>
      </c>
      <c r="AC66">
        <v>0</v>
      </c>
      <c r="AD66">
        <v>3.5</v>
      </c>
      <c r="AE66">
        <f>Dashboard!$B$6*AA66+Dashboard!$B$6*4*AB66/60+Dashboard!$B$6*8*AC66/120+Dashboard!$B$6*7*AD66</f>
        <v>1960</v>
      </c>
      <c r="AF66">
        <f>Dashboard!$B$5</f>
        <v>1700</v>
      </c>
      <c r="AG66">
        <f t="shared" ref="AG66:AG129" si="6">AF66*1.2+AE66</f>
        <v>4000</v>
      </c>
      <c r="AH66">
        <f t="shared" ref="AH66:AH129" si="7">W66-AG66</f>
        <v>-2362.5</v>
      </c>
    </row>
    <row r="67" spans="1:34">
      <c r="A67">
        <v>46243</v>
      </c>
      <c r="B67" t="s">
        <v>86</v>
      </c>
      <c r="C67" t="s">
        <v>84</v>
      </c>
      <c r="D67">
        <v>2</v>
      </c>
      <c r="E67">
        <v>400</v>
      </c>
      <c r="F67">
        <v>30</v>
      </c>
      <c r="G67">
        <v>1</v>
      </c>
      <c r="H67">
        <v>150</v>
      </c>
      <c r="I67">
        <v>250</v>
      </c>
      <c r="J67" t="s">
        <v>85</v>
      </c>
      <c r="K67">
        <v>250</v>
      </c>
      <c r="L67">
        <v>3</v>
      </c>
      <c r="M67">
        <v>0</v>
      </c>
      <c r="N67">
        <f>D67*Food_DB!$C$2</f>
        <v>150</v>
      </c>
      <c r="O67">
        <f>E67/100*Food_DB!$C$3</f>
        <v>260</v>
      </c>
      <c r="P67">
        <f>F67/30*Food_DB!$C$4</f>
        <v>111</v>
      </c>
      <c r="Q67">
        <f>G67*Food_DB!$C$5</f>
        <v>222</v>
      </c>
      <c r="R67">
        <f>H67/100*Food_DB!$C$6</f>
        <v>12</v>
      </c>
      <c r="S67">
        <f>I67/100*Food_DB!$C$7</f>
        <v>62.5</v>
      </c>
      <c r="T67">
        <f>IFERROR(K67/100*VLOOKUP(J67,Food_DB!$A$2:$F$14,3,FALSE),0)</f>
        <v>450</v>
      </c>
      <c r="U67">
        <f>L67*Food_DB!$C$8</f>
        <v>270</v>
      </c>
      <c r="V67">
        <f t="shared" si="4"/>
        <v>0</v>
      </c>
      <c r="W67">
        <f t="shared" si="5"/>
        <v>1537.5</v>
      </c>
      <c r="X67">
        <f>D67*Food_DB!$D$2+E67/100*Food_DB!$D$3+F67/30*Food_DB!$D$4+G67*Food_DB!$D$5+H67/100*Food_DB!$D$6+I67/100*Food_DB!$D$7+IFERROR(K67/100*VLOOKUP(J67,Food_DB!$A$2:$F$14,4,FALSE),0)+L67*Food_DB!$D$8</f>
        <v>92.999999999999986</v>
      </c>
      <c r="Y67">
        <f>D67*Food_DB!$E$2+E67/100*Food_DB!$E$3+F67/30*Food_DB!$E$4+G67*Food_DB!$E$5+H67/100*Food_DB!$E$6+I67/100*Food_DB!$E$7+IFERROR(K67/100*VLOOKUP(J67,Food_DB!$A$2:$F$14,5,FALSE),0)+L67*Food_DB!$E$8</f>
        <v>51.1</v>
      </c>
      <c r="Z67">
        <f>D67*Food_DB!$F$2+E67/100*Food_DB!$F$3+F67/30*Food_DB!$F$4+G67*Food_DB!$F$5+H67/100*Food_DB!$F$6+I67/100*Food_DB!$F$7+IFERROR(K67/100*VLOOKUP(J67,Food_DB!$A$2:$F$14,6,FALSE),0)+L67*Food_DB!$F$8</f>
        <v>178.15</v>
      </c>
      <c r="AA67">
        <v>0</v>
      </c>
      <c r="AB67">
        <v>0</v>
      </c>
      <c r="AC67">
        <v>0</v>
      </c>
      <c r="AD67">
        <v>3.5</v>
      </c>
      <c r="AE67">
        <f>Dashboard!$B$6*AA67+Dashboard!$B$6*4*AB67/60+Dashboard!$B$6*8*AC67/120+Dashboard!$B$6*7*AD67</f>
        <v>1960</v>
      </c>
      <c r="AF67">
        <f>Dashboard!$B$5</f>
        <v>1700</v>
      </c>
      <c r="AG67">
        <f t="shared" si="6"/>
        <v>4000</v>
      </c>
      <c r="AH67">
        <f t="shared" si="7"/>
        <v>-2462.5</v>
      </c>
    </row>
    <row r="68" spans="1:34">
      <c r="A68">
        <v>46244</v>
      </c>
      <c r="B68" t="s">
        <v>88</v>
      </c>
      <c r="C68" t="s">
        <v>89</v>
      </c>
      <c r="D68">
        <v>2</v>
      </c>
      <c r="E68">
        <v>400</v>
      </c>
      <c r="F68">
        <v>30</v>
      </c>
      <c r="G68">
        <v>1</v>
      </c>
      <c r="H68">
        <v>150</v>
      </c>
      <c r="I68">
        <v>250</v>
      </c>
      <c r="J68" t="s">
        <v>87</v>
      </c>
      <c r="K68">
        <v>250</v>
      </c>
      <c r="L68">
        <v>3</v>
      </c>
      <c r="M68">
        <v>0</v>
      </c>
      <c r="N68">
        <f>D68*Food_DB!$C$2</f>
        <v>150</v>
      </c>
      <c r="O68">
        <f>E68/100*Food_DB!$C$3</f>
        <v>260</v>
      </c>
      <c r="P68">
        <f>F68/30*Food_DB!$C$4</f>
        <v>111</v>
      </c>
      <c r="Q68">
        <f>G68*Food_DB!$C$5</f>
        <v>222</v>
      </c>
      <c r="R68">
        <f>H68/100*Food_DB!$C$6</f>
        <v>12</v>
      </c>
      <c r="S68">
        <f>I68/100*Food_DB!$C$7</f>
        <v>62.5</v>
      </c>
      <c r="T68">
        <f>IFERROR(K68/100*VLOOKUP(J68,Food_DB!$A$2:$F$14,3,FALSE),0)</f>
        <v>300</v>
      </c>
      <c r="U68">
        <f>L68*Food_DB!$C$8</f>
        <v>270</v>
      </c>
      <c r="V68">
        <f t="shared" si="4"/>
        <v>0</v>
      </c>
      <c r="W68">
        <f t="shared" si="5"/>
        <v>1387.5</v>
      </c>
      <c r="X68">
        <f>D68*Food_DB!$D$2+E68/100*Food_DB!$D$3+F68/30*Food_DB!$D$4+G68*Food_DB!$D$5+H68/100*Food_DB!$D$6+I68/100*Food_DB!$D$7+IFERROR(K68/100*VLOOKUP(J68,Food_DB!$A$2:$F$14,4,FALSE),0)+L68*Food_DB!$D$8</f>
        <v>100.49999999999999</v>
      </c>
      <c r="Y68">
        <f>D68*Food_DB!$E$2+E68/100*Food_DB!$E$3+F68/30*Food_DB!$E$4+G68*Food_DB!$E$5+H68/100*Food_DB!$E$6+I68/100*Food_DB!$E$7+IFERROR(K68/100*VLOOKUP(J68,Food_DB!$A$2:$F$14,5,FALSE),0)+L68*Food_DB!$E$8</f>
        <v>32.35</v>
      </c>
      <c r="Z68">
        <f>D68*Food_DB!$F$2+E68/100*Food_DB!$F$3+F68/30*Food_DB!$F$4+G68*Food_DB!$F$5+H68/100*Food_DB!$F$6+I68/100*Food_DB!$F$7+IFERROR(K68/100*VLOOKUP(J68,Food_DB!$A$2:$F$14,6,FALSE),0)+L68*Food_DB!$F$8</f>
        <v>178.15</v>
      </c>
      <c r="AA68">
        <v>6.5</v>
      </c>
      <c r="AB68">
        <v>30</v>
      </c>
      <c r="AC68">
        <v>0</v>
      </c>
      <c r="AD68">
        <v>0</v>
      </c>
      <c r="AE68">
        <f>Dashboard!$B$6*AA68+Dashboard!$B$6*4*AB68/60+Dashboard!$B$6*8*AC68/120+Dashboard!$B$6*7*AD68</f>
        <v>680</v>
      </c>
      <c r="AF68">
        <f>Dashboard!$B$5</f>
        <v>1700</v>
      </c>
      <c r="AG68">
        <f t="shared" si="6"/>
        <v>2720</v>
      </c>
      <c r="AH68">
        <f t="shared" si="7"/>
        <v>-1332.5</v>
      </c>
    </row>
    <row r="69" spans="1:34">
      <c r="A69">
        <v>46245</v>
      </c>
      <c r="B69" t="s">
        <v>91</v>
      </c>
      <c r="C69" t="s">
        <v>89</v>
      </c>
      <c r="D69">
        <v>2</v>
      </c>
      <c r="E69">
        <v>400</v>
      </c>
      <c r="F69">
        <v>30</v>
      </c>
      <c r="G69">
        <v>1</v>
      </c>
      <c r="H69">
        <v>150</v>
      </c>
      <c r="I69">
        <v>250</v>
      </c>
      <c r="J69" t="s">
        <v>90</v>
      </c>
      <c r="K69">
        <v>250</v>
      </c>
      <c r="L69">
        <v>3</v>
      </c>
      <c r="M69">
        <v>0</v>
      </c>
      <c r="N69">
        <f>D69*Food_DB!$C$2</f>
        <v>150</v>
      </c>
      <c r="O69">
        <f>E69/100*Food_DB!$C$3</f>
        <v>260</v>
      </c>
      <c r="P69">
        <f>F69/30*Food_DB!$C$4</f>
        <v>111</v>
      </c>
      <c r="Q69">
        <f>G69*Food_DB!$C$5</f>
        <v>222</v>
      </c>
      <c r="R69">
        <f>H69/100*Food_DB!$C$6</f>
        <v>12</v>
      </c>
      <c r="S69">
        <f>I69/100*Food_DB!$C$7</f>
        <v>62.5</v>
      </c>
      <c r="T69">
        <f>IFERROR(K69/100*VLOOKUP(J69,Food_DB!$A$2:$F$14,3,FALSE),0)</f>
        <v>575</v>
      </c>
      <c r="U69">
        <f>L69*Food_DB!$C$8</f>
        <v>270</v>
      </c>
      <c r="V69">
        <f t="shared" si="4"/>
        <v>0</v>
      </c>
      <c r="W69">
        <f t="shared" si="5"/>
        <v>1662.5</v>
      </c>
      <c r="X69">
        <f>D69*Food_DB!$D$2+E69/100*Food_DB!$D$3+F69/30*Food_DB!$D$4+G69*Food_DB!$D$5+H69/100*Food_DB!$D$6+I69/100*Food_DB!$D$7+IFERROR(K69/100*VLOOKUP(J69,Food_DB!$A$2:$F$14,4,FALSE),0)+L69*Food_DB!$D$8</f>
        <v>87.999999999999986</v>
      </c>
      <c r="Y69">
        <f>D69*Food_DB!$E$2+E69/100*Food_DB!$E$3+F69/30*Food_DB!$E$4+G69*Food_DB!$E$5+H69/100*Food_DB!$E$6+I69/100*Food_DB!$E$7+IFERROR(K69/100*VLOOKUP(J69,Food_DB!$A$2:$F$14,5,FALSE),0)+L69*Food_DB!$E$8</f>
        <v>68.599999999999994</v>
      </c>
      <c r="Z69">
        <f>D69*Food_DB!$F$2+E69/100*Food_DB!$F$3+F69/30*Food_DB!$F$4+G69*Food_DB!$F$5+H69/100*Food_DB!$F$6+I69/100*Food_DB!$F$7+IFERROR(K69/100*VLOOKUP(J69,Food_DB!$A$2:$F$14,6,FALSE),0)+L69*Food_DB!$F$8</f>
        <v>178.15</v>
      </c>
      <c r="AA69">
        <v>6.5</v>
      </c>
      <c r="AB69">
        <v>30</v>
      </c>
      <c r="AC69">
        <v>0</v>
      </c>
      <c r="AD69">
        <v>0</v>
      </c>
      <c r="AE69">
        <f>Dashboard!$B$6*AA69+Dashboard!$B$6*4*AB69/60+Dashboard!$B$6*8*AC69/120+Dashboard!$B$6*7*AD69</f>
        <v>680</v>
      </c>
      <c r="AF69">
        <f>Dashboard!$B$5</f>
        <v>1700</v>
      </c>
      <c r="AG69">
        <f t="shared" si="6"/>
        <v>2720</v>
      </c>
      <c r="AH69">
        <f t="shared" si="7"/>
        <v>-1057.5</v>
      </c>
    </row>
    <row r="70" spans="1:34">
      <c r="A70">
        <v>46246</v>
      </c>
      <c r="B70" t="s">
        <v>92</v>
      </c>
      <c r="C70" t="s">
        <v>89</v>
      </c>
      <c r="D70">
        <v>2</v>
      </c>
      <c r="E70">
        <v>400</v>
      </c>
      <c r="F70">
        <v>30</v>
      </c>
      <c r="G70">
        <v>1</v>
      </c>
      <c r="H70">
        <v>150</v>
      </c>
      <c r="I70">
        <v>250</v>
      </c>
      <c r="J70" t="s">
        <v>82</v>
      </c>
      <c r="K70">
        <v>250</v>
      </c>
      <c r="L70">
        <v>3</v>
      </c>
      <c r="M70">
        <v>0</v>
      </c>
      <c r="N70">
        <f>D70*Food_DB!$C$2</f>
        <v>150</v>
      </c>
      <c r="O70">
        <f>E70/100*Food_DB!$C$3</f>
        <v>260</v>
      </c>
      <c r="P70">
        <f>F70/30*Food_DB!$C$4</f>
        <v>111</v>
      </c>
      <c r="Q70">
        <f>G70*Food_DB!$C$5</f>
        <v>222</v>
      </c>
      <c r="R70">
        <f>H70/100*Food_DB!$C$6</f>
        <v>12</v>
      </c>
      <c r="S70">
        <f>I70/100*Food_DB!$C$7</f>
        <v>62.5</v>
      </c>
      <c r="T70">
        <f>IFERROR(K70/100*VLOOKUP(J70,Food_DB!$A$2:$F$14,3,FALSE),0)</f>
        <v>550</v>
      </c>
      <c r="U70">
        <f>L70*Food_DB!$C$8</f>
        <v>270</v>
      </c>
      <c r="V70">
        <f t="shared" si="4"/>
        <v>0</v>
      </c>
      <c r="W70">
        <f t="shared" si="5"/>
        <v>1637.5</v>
      </c>
      <c r="X70">
        <f>D70*Food_DB!$D$2+E70/100*Food_DB!$D$3+F70/30*Food_DB!$D$4+G70*Food_DB!$D$5+H70/100*Food_DB!$D$6+I70/100*Food_DB!$D$7+IFERROR(K70/100*VLOOKUP(J70,Food_DB!$A$2:$F$14,4,FALSE),0)+L70*Food_DB!$D$8</f>
        <v>92.999999999999986</v>
      </c>
      <c r="Y70">
        <f>D70*Food_DB!$E$2+E70/100*Food_DB!$E$3+F70/30*Food_DB!$E$4+G70*Food_DB!$E$5+H70/100*Food_DB!$E$6+I70/100*Food_DB!$E$7+IFERROR(K70/100*VLOOKUP(J70,Food_DB!$A$2:$F$14,5,FALSE),0)+L70*Food_DB!$E$8</f>
        <v>63.6</v>
      </c>
      <c r="Z70">
        <f>D70*Food_DB!$F$2+E70/100*Food_DB!$F$3+F70/30*Food_DB!$F$4+G70*Food_DB!$F$5+H70/100*Food_DB!$F$6+I70/100*Food_DB!$F$7+IFERROR(K70/100*VLOOKUP(J70,Food_DB!$A$2:$F$14,6,FALSE),0)+L70*Food_DB!$F$8</f>
        <v>178.15</v>
      </c>
      <c r="AA70">
        <v>6.5</v>
      </c>
      <c r="AB70">
        <v>30</v>
      </c>
      <c r="AC70">
        <v>0</v>
      </c>
      <c r="AD70">
        <v>0</v>
      </c>
      <c r="AE70">
        <f>Dashboard!$B$6*AA70+Dashboard!$B$6*4*AB70/60+Dashboard!$B$6*8*AC70/120+Dashboard!$B$6*7*AD70</f>
        <v>680</v>
      </c>
      <c r="AF70">
        <f>Dashboard!$B$5</f>
        <v>1700</v>
      </c>
      <c r="AG70">
        <f t="shared" si="6"/>
        <v>2720</v>
      </c>
      <c r="AH70">
        <f t="shared" si="7"/>
        <v>-1082.5</v>
      </c>
    </row>
    <row r="71" spans="1:34">
      <c r="A71">
        <v>46247</v>
      </c>
      <c r="B71" t="s">
        <v>93</v>
      </c>
      <c r="C71" t="s">
        <v>89</v>
      </c>
      <c r="D71">
        <v>2</v>
      </c>
      <c r="E71">
        <v>400</v>
      </c>
      <c r="F71">
        <v>30</v>
      </c>
      <c r="G71">
        <v>1</v>
      </c>
      <c r="H71">
        <v>150</v>
      </c>
      <c r="I71">
        <v>250</v>
      </c>
      <c r="J71" t="s">
        <v>85</v>
      </c>
      <c r="K71">
        <v>250</v>
      </c>
      <c r="L71">
        <v>3</v>
      </c>
      <c r="M71">
        <v>0</v>
      </c>
      <c r="N71">
        <f>D71*Food_DB!$C$2</f>
        <v>150</v>
      </c>
      <c r="O71">
        <f>E71/100*Food_DB!$C$3</f>
        <v>260</v>
      </c>
      <c r="P71">
        <f>F71/30*Food_DB!$C$4</f>
        <v>111</v>
      </c>
      <c r="Q71">
        <f>G71*Food_DB!$C$5</f>
        <v>222</v>
      </c>
      <c r="R71">
        <f>H71/100*Food_DB!$C$6</f>
        <v>12</v>
      </c>
      <c r="S71">
        <f>I71/100*Food_DB!$C$7</f>
        <v>62.5</v>
      </c>
      <c r="T71">
        <f>IFERROR(K71/100*VLOOKUP(J71,Food_DB!$A$2:$F$14,3,FALSE),0)</f>
        <v>450</v>
      </c>
      <c r="U71">
        <f>L71*Food_DB!$C$8</f>
        <v>270</v>
      </c>
      <c r="V71">
        <f t="shared" si="4"/>
        <v>0</v>
      </c>
      <c r="W71">
        <f t="shared" si="5"/>
        <v>1537.5</v>
      </c>
      <c r="X71">
        <f>D71*Food_DB!$D$2+E71/100*Food_DB!$D$3+F71/30*Food_DB!$D$4+G71*Food_DB!$D$5+H71/100*Food_DB!$D$6+I71/100*Food_DB!$D$7+IFERROR(K71/100*VLOOKUP(J71,Food_DB!$A$2:$F$14,4,FALSE),0)+L71*Food_DB!$D$8</f>
        <v>92.999999999999986</v>
      </c>
      <c r="Y71">
        <f>D71*Food_DB!$E$2+E71/100*Food_DB!$E$3+F71/30*Food_DB!$E$4+G71*Food_DB!$E$5+H71/100*Food_DB!$E$6+I71/100*Food_DB!$E$7+IFERROR(K71/100*VLOOKUP(J71,Food_DB!$A$2:$F$14,5,FALSE),0)+L71*Food_DB!$E$8</f>
        <v>51.1</v>
      </c>
      <c r="Z71">
        <f>D71*Food_DB!$F$2+E71/100*Food_DB!$F$3+F71/30*Food_DB!$F$4+G71*Food_DB!$F$5+H71/100*Food_DB!$F$6+I71/100*Food_DB!$F$7+IFERROR(K71/100*VLOOKUP(J71,Food_DB!$A$2:$F$14,6,FALSE),0)+L71*Food_DB!$F$8</f>
        <v>178.15</v>
      </c>
      <c r="AA71">
        <v>6.5</v>
      </c>
      <c r="AB71">
        <v>30</v>
      </c>
      <c r="AC71">
        <v>0</v>
      </c>
      <c r="AD71">
        <v>0</v>
      </c>
      <c r="AE71">
        <f>Dashboard!$B$6*AA71+Dashboard!$B$6*4*AB71/60+Dashboard!$B$6*8*AC71/120+Dashboard!$B$6*7*AD71</f>
        <v>680</v>
      </c>
      <c r="AF71">
        <f>Dashboard!$B$5</f>
        <v>1700</v>
      </c>
      <c r="AG71">
        <f t="shared" si="6"/>
        <v>2720</v>
      </c>
      <c r="AH71">
        <f t="shared" si="7"/>
        <v>-1182.5</v>
      </c>
    </row>
    <row r="72" spans="1:34">
      <c r="A72">
        <v>46248</v>
      </c>
      <c r="B72" t="s">
        <v>80</v>
      </c>
      <c r="C72" t="s">
        <v>81</v>
      </c>
      <c r="D72">
        <v>2</v>
      </c>
      <c r="E72">
        <v>400</v>
      </c>
      <c r="F72">
        <v>30</v>
      </c>
      <c r="G72">
        <v>1</v>
      </c>
      <c r="H72">
        <v>150</v>
      </c>
      <c r="I72">
        <v>250</v>
      </c>
      <c r="J72" t="s">
        <v>87</v>
      </c>
      <c r="K72">
        <v>250</v>
      </c>
      <c r="L72">
        <v>3</v>
      </c>
      <c r="M72">
        <v>1000</v>
      </c>
      <c r="N72">
        <f>D72*Food_DB!$C$2</f>
        <v>150</v>
      </c>
      <c r="O72">
        <f>E72/100*Food_DB!$C$3</f>
        <v>260</v>
      </c>
      <c r="P72">
        <f>F72/30*Food_DB!$C$4</f>
        <v>111</v>
      </c>
      <c r="Q72">
        <f>G72*Food_DB!$C$5</f>
        <v>222</v>
      </c>
      <c r="R72">
        <f>H72/100*Food_DB!$C$6</f>
        <v>12</v>
      </c>
      <c r="S72">
        <f>I72/100*Food_DB!$C$7</f>
        <v>62.5</v>
      </c>
      <c r="T72">
        <f>IFERROR(K72/100*VLOOKUP(J72,Food_DB!$A$2:$F$14,3,FALSE),0)</f>
        <v>300</v>
      </c>
      <c r="U72">
        <f>L72*Food_DB!$C$8</f>
        <v>270</v>
      </c>
      <c r="V72">
        <f t="shared" si="4"/>
        <v>1000</v>
      </c>
      <c r="W72">
        <f t="shared" si="5"/>
        <v>2387.5</v>
      </c>
      <c r="X72">
        <f>D72*Food_DB!$D$2+E72/100*Food_DB!$D$3+F72/30*Food_DB!$D$4+G72*Food_DB!$D$5+H72/100*Food_DB!$D$6+I72/100*Food_DB!$D$7+IFERROR(K72/100*VLOOKUP(J72,Food_DB!$A$2:$F$14,4,FALSE),0)+L72*Food_DB!$D$8</f>
        <v>100.49999999999999</v>
      </c>
      <c r="Y72">
        <f>D72*Food_DB!$E$2+E72/100*Food_DB!$E$3+F72/30*Food_DB!$E$4+G72*Food_DB!$E$5+H72/100*Food_DB!$E$6+I72/100*Food_DB!$E$7+IFERROR(K72/100*VLOOKUP(J72,Food_DB!$A$2:$F$14,5,FALSE),0)+L72*Food_DB!$E$8</f>
        <v>32.35</v>
      </c>
      <c r="Z72">
        <f>D72*Food_DB!$F$2+E72/100*Food_DB!$F$3+F72/30*Food_DB!$F$4+G72*Food_DB!$F$5+H72/100*Food_DB!$F$6+I72/100*Food_DB!$F$7+IFERROR(K72/100*VLOOKUP(J72,Food_DB!$A$2:$F$14,6,FALSE),0)+L72*Food_DB!$F$8</f>
        <v>178.15</v>
      </c>
      <c r="AA72">
        <v>6.5</v>
      </c>
      <c r="AB72">
        <v>30</v>
      </c>
      <c r="AC72">
        <v>0</v>
      </c>
      <c r="AD72">
        <v>0</v>
      </c>
      <c r="AE72">
        <f>Dashboard!$B$6*AA72+Dashboard!$B$6*4*AB72/60+Dashboard!$B$6*8*AC72/120+Dashboard!$B$6*7*AD72</f>
        <v>680</v>
      </c>
      <c r="AF72">
        <f>Dashboard!$B$5</f>
        <v>1700</v>
      </c>
      <c r="AG72">
        <f t="shared" si="6"/>
        <v>2720</v>
      </c>
      <c r="AH72">
        <f t="shared" si="7"/>
        <v>-332.5</v>
      </c>
    </row>
    <row r="73" spans="1:34">
      <c r="A73">
        <v>46249</v>
      </c>
      <c r="B73" t="s">
        <v>83</v>
      </c>
      <c r="C73" t="s">
        <v>84</v>
      </c>
      <c r="D73">
        <v>2</v>
      </c>
      <c r="E73">
        <v>400</v>
      </c>
      <c r="F73">
        <v>30</v>
      </c>
      <c r="G73">
        <v>1</v>
      </c>
      <c r="H73">
        <v>150</v>
      </c>
      <c r="I73">
        <v>250</v>
      </c>
      <c r="J73" t="s">
        <v>90</v>
      </c>
      <c r="K73">
        <v>250</v>
      </c>
      <c r="L73">
        <v>3</v>
      </c>
      <c r="M73">
        <v>0</v>
      </c>
      <c r="N73">
        <f>D73*Food_DB!$C$2</f>
        <v>150</v>
      </c>
      <c r="O73">
        <f>E73/100*Food_DB!$C$3</f>
        <v>260</v>
      </c>
      <c r="P73">
        <f>F73/30*Food_DB!$C$4</f>
        <v>111</v>
      </c>
      <c r="Q73">
        <f>G73*Food_DB!$C$5</f>
        <v>222</v>
      </c>
      <c r="R73">
        <f>H73/100*Food_DB!$C$6</f>
        <v>12</v>
      </c>
      <c r="S73">
        <f>I73/100*Food_DB!$C$7</f>
        <v>62.5</v>
      </c>
      <c r="T73">
        <f>IFERROR(K73/100*VLOOKUP(J73,Food_DB!$A$2:$F$14,3,FALSE),0)</f>
        <v>575</v>
      </c>
      <c r="U73">
        <f>L73*Food_DB!$C$8</f>
        <v>270</v>
      </c>
      <c r="V73">
        <f t="shared" si="4"/>
        <v>0</v>
      </c>
      <c r="W73">
        <f t="shared" si="5"/>
        <v>1662.5</v>
      </c>
      <c r="X73">
        <f>D73*Food_DB!$D$2+E73/100*Food_DB!$D$3+F73/30*Food_DB!$D$4+G73*Food_DB!$D$5+H73/100*Food_DB!$D$6+I73/100*Food_DB!$D$7+IFERROR(K73/100*VLOOKUP(J73,Food_DB!$A$2:$F$14,4,FALSE),0)+L73*Food_DB!$D$8</f>
        <v>87.999999999999986</v>
      </c>
      <c r="Y73">
        <f>D73*Food_DB!$E$2+E73/100*Food_DB!$E$3+F73/30*Food_DB!$E$4+G73*Food_DB!$E$5+H73/100*Food_DB!$E$6+I73/100*Food_DB!$E$7+IFERROR(K73/100*VLOOKUP(J73,Food_DB!$A$2:$F$14,5,FALSE),0)+L73*Food_DB!$E$8</f>
        <v>68.599999999999994</v>
      </c>
      <c r="Z73">
        <f>D73*Food_DB!$F$2+E73/100*Food_DB!$F$3+F73/30*Food_DB!$F$4+G73*Food_DB!$F$5+H73/100*Food_DB!$F$6+I73/100*Food_DB!$F$7+IFERROR(K73/100*VLOOKUP(J73,Food_DB!$A$2:$F$14,6,FALSE),0)+L73*Food_DB!$F$8</f>
        <v>178.15</v>
      </c>
      <c r="AA73">
        <v>0</v>
      </c>
      <c r="AB73">
        <v>0</v>
      </c>
      <c r="AC73">
        <v>0</v>
      </c>
      <c r="AD73">
        <v>3.5</v>
      </c>
      <c r="AE73">
        <f>Dashboard!$B$6*AA73+Dashboard!$B$6*4*AB73/60+Dashboard!$B$6*8*AC73/120+Dashboard!$B$6*7*AD73</f>
        <v>1960</v>
      </c>
      <c r="AF73">
        <f>Dashboard!$B$5</f>
        <v>1700</v>
      </c>
      <c r="AG73">
        <f t="shared" si="6"/>
        <v>4000</v>
      </c>
      <c r="AH73">
        <f t="shared" si="7"/>
        <v>-2337.5</v>
      </c>
    </row>
    <row r="74" spans="1:34">
      <c r="A74">
        <v>46250</v>
      </c>
      <c r="B74" t="s">
        <v>86</v>
      </c>
      <c r="C74" t="s">
        <v>84</v>
      </c>
      <c r="D74">
        <v>2</v>
      </c>
      <c r="E74">
        <v>400</v>
      </c>
      <c r="F74">
        <v>30</v>
      </c>
      <c r="G74">
        <v>1</v>
      </c>
      <c r="H74">
        <v>150</v>
      </c>
      <c r="I74">
        <v>250</v>
      </c>
      <c r="J74" t="s">
        <v>82</v>
      </c>
      <c r="K74">
        <v>250</v>
      </c>
      <c r="L74">
        <v>3</v>
      </c>
      <c r="M74">
        <v>0</v>
      </c>
      <c r="N74">
        <f>D74*Food_DB!$C$2</f>
        <v>150</v>
      </c>
      <c r="O74">
        <f>E74/100*Food_DB!$C$3</f>
        <v>260</v>
      </c>
      <c r="P74">
        <f>F74/30*Food_DB!$C$4</f>
        <v>111</v>
      </c>
      <c r="Q74">
        <f>G74*Food_DB!$C$5</f>
        <v>222</v>
      </c>
      <c r="R74">
        <f>H74/100*Food_DB!$C$6</f>
        <v>12</v>
      </c>
      <c r="S74">
        <f>I74/100*Food_DB!$C$7</f>
        <v>62.5</v>
      </c>
      <c r="T74">
        <f>IFERROR(K74/100*VLOOKUP(J74,Food_DB!$A$2:$F$14,3,FALSE),0)</f>
        <v>550</v>
      </c>
      <c r="U74">
        <f>L74*Food_DB!$C$8</f>
        <v>270</v>
      </c>
      <c r="V74">
        <f t="shared" si="4"/>
        <v>0</v>
      </c>
      <c r="W74">
        <f t="shared" si="5"/>
        <v>1637.5</v>
      </c>
      <c r="X74">
        <f>D74*Food_DB!$D$2+E74/100*Food_DB!$D$3+F74/30*Food_DB!$D$4+G74*Food_DB!$D$5+H74/100*Food_DB!$D$6+I74/100*Food_DB!$D$7+IFERROR(K74/100*VLOOKUP(J74,Food_DB!$A$2:$F$14,4,FALSE),0)+L74*Food_DB!$D$8</f>
        <v>92.999999999999986</v>
      </c>
      <c r="Y74">
        <f>D74*Food_DB!$E$2+E74/100*Food_DB!$E$3+F74/30*Food_DB!$E$4+G74*Food_DB!$E$5+H74/100*Food_DB!$E$6+I74/100*Food_DB!$E$7+IFERROR(K74/100*VLOOKUP(J74,Food_DB!$A$2:$F$14,5,FALSE),0)+L74*Food_DB!$E$8</f>
        <v>63.6</v>
      </c>
      <c r="Z74">
        <f>D74*Food_DB!$F$2+E74/100*Food_DB!$F$3+F74/30*Food_DB!$F$4+G74*Food_DB!$F$5+H74/100*Food_DB!$F$6+I74/100*Food_DB!$F$7+IFERROR(K74/100*VLOOKUP(J74,Food_DB!$A$2:$F$14,6,FALSE),0)+L74*Food_DB!$F$8</f>
        <v>178.15</v>
      </c>
      <c r="AA74">
        <v>0</v>
      </c>
      <c r="AB74">
        <v>0</v>
      </c>
      <c r="AC74">
        <v>0</v>
      </c>
      <c r="AD74">
        <v>3.5</v>
      </c>
      <c r="AE74">
        <f>Dashboard!$B$6*AA74+Dashboard!$B$6*4*AB74/60+Dashboard!$B$6*8*AC74/120+Dashboard!$B$6*7*AD74</f>
        <v>1960</v>
      </c>
      <c r="AF74">
        <f>Dashboard!$B$5</f>
        <v>1700</v>
      </c>
      <c r="AG74">
        <f t="shared" si="6"/>
        <v>4000</v>
      </c>
      <c r="AH74">
        <f t="shared" si="7"/>
        <v>-2362.5</v>
      </c>
    </row>
    <row r="75" spans="1:34">
      <c r="A75">
        <v>46251</v>
      </c>
      <c r="B75" t="s">
        <v>88</v>
      </c>
      <c r="C75" t="s">
        <v>89</v>
      </c>
      <c r="D75">
        <v>2</v>
      </c>
      <c r="E75">
        <v>400</v>
      </c>
      <c r="F75">
        <v>30</v>
      </c>
      <c r="G75">
        <v>1</v>
      </c>
      <c r="H75">
        <v>150</v>
      </c>
      <c r="I75">
        <v>250</v>
      </c>
      <c r="J75" t="s">
        <v>85</v>
      </c>
      <c r="K75">
        <v>250</v>
      </c>
      <c r="L75">
        <v>3</v>
      </c>
      <c r="M75">
        <v>0</v>
      </c>
      <c r="N75">
        <f>D75*Food_DB!$C$2</f>
        <v>150</v>
      </c>
      <c r="O75">
        <f>E75/100*Food_DB!$C$3</f>
        <v>260</v>
      </c>
      <c r="P75">
        <f>F75/30*Food_DB!$C$4</f>
        <v>111</v>
      </c>
      <c r="Q75">
        <f>G75*Food_DB!$C$5</f>
        <v>222</v>
      </c>
      <c r="R75">
        <f>H75/100*Food_DB!$C$6</f>
        <v>12</v>
      </c>
      <c r="S75">
        <f>I75/100*Food_DB!$C$7</f>
        <v>62.5</v>
      </c>
      <c r="T75">
        <f>IFERROR(K75/100*VLOOKUP(J75,Food_DB!$A$2:$F$14,3,FALSE),0)</f>
        <v>450</v>
      </c>
      <c r="U75">
        <f>L75*Food_DB!$C$8</f>
        <v>270</v>
      </c>
      <c r="V75">
        <f t="shared" si="4"/>
        <v>0</v>
      </c>
      <c r="W75">
        <f t="shared" si="5"/>
        <v>1537.5</v>
      </c>
      <c r="X75">
        <f>D75*Food_DB!$D$2+E75/100*Food_DB!$D$3+F75/30*Food_DB!$D$4+G75*Food_DB!$D$5+H75/100*Food_DB!$D$6+I75/100*Food_DB!$D$7+IFERROR(K75/100*VLOOKUP(J75,Food_DB!$A$2:$F$14,4,FALSE),0)+L75*Food_DB!$D$8</f>
        <v>92.999999999999986</v>
      </c>
      <c r="Y75">
        <f>D75*Food_DB!$E$2+E75/100*Food_DB!$E$3+F75/30*Food_DB!$E$4+G75*Food_DB!$E$5+H75/100*Food_DB!$E$6+I75/100*Food_DB!$E$7+IFERROR(K75/100*VLOOKUP(J75,Food_DB!$A$2:$F$14,5,FALSE),0)+L75*Food_DB!$E$8</f>
        <v>51.1</v>
      </c>
      <c r="Z75">
        <f>D75*Food_DB!$F$2+E75/100*Food_DB!$F$3+F75/30*Food_DB!$F$4+G75*Food_DB!$F$5+H75/100*Food_DB!$F$6+I75/100*Food_DB!$F$7+IFERROR(K75/100*VLOOKUP(J75,Food_DB!$A$2:$F$14,6,FALSE),0)+L75*Food_DB!$F$8</f>
        <v>178.15</v>
      </c>
      <c r="AA75">
        <v>6.5</v>
      </c>
      <c r="AB75">
        <v>30</v>
      </c>
      <c r="AC75">
        <v>0</v>
      </c>
      <c r="AD75">
        <v>0</v>
      </c>
      <c r="AE75">
        <f>Dashboard!$B$6*AA75+Dashboard!$B$6*4*AB75/60+Dashboard!$B$6*8*AC75/120+Dashboard!$B$6*7*AD75</f>
        <v>680</v>
      </c>
      <c r="AF75">
        <f>Dashboard!$B$5</f>
        <v>1700</v>
      </c>
      <c r="AG75">
        <f t="shared" si="6"/>
        <v>2720</v>
      </c>
      <c r="AH75">
        <f t="shared" si="7"/>
        <v>-1182.5</v>
      </c>
    </row>
    <row r="76" spans="1:34">
      <c r="A76">
        <v>46252</v>
      </c>
      <c r="B76" t="s">
        <v>91</v>
      </c>
      <c r="C76" t="s">
        <v>89</v>
      </c>
      <c r="D76">
        <v>2</v>
      </c>
      <c r="E76">
        <v>400</v>
      </c>
      <c r="F76">
        <v>30</v>
      </c>
      <c r="G76">
        <v>1</v>
      </c>
      <c r="H76">
        <v>150</v>
      </c>
      <c r="I76">
        <v>250</v>
      </c>
      <c r="J76" t="s">
        <v>87</v>
      </c>
      <c r="K76">
        <v>250</v>
      </c>
      <c r="L76">
        <v>3</v>
      </c>
      <c r="M76">
        <v>0</v>
      </c>
      <c r="N76">
        <f>D76*Food_DB!$C$2</f>
        <v>150</v>
      </c>
      <c r="O76">
        <f>E76/100*Food_DB!$C$3</f>
        <v>260</v>
      </c>
      <c r="P76">
        <f>F76/30*Food_DB!$C$4</f>
        <v>111</v>
      </c>
      <c r="Q76">
        <f>G76*Food_DB!$C$5</f>
        <v>222</v>
      </c>
      <c r="R76">
        <f>H76/100*Food_DB!$C$6</f>
        <v>12</v>
      </c>
      <c r="S76">
        <f>I76/100*Food_DB!$C$7</f>
        <v>62.5</v>
      </c>
      <c r="T76">
        <f>IFERROR(K76/100*VLOOKUP(J76,Food_DB!$A$2:$F$14,3,FALSE),0)</f>
        <v>300</v>
      </c>
      <c r="U76">
        <f>L76*Food_DB!$C$8</f>
        <v>270</v>
      </c>
      <c r="V76">
        <f t="shared" si="4"/>
        <v>0</v>
      </c>
      <c r="W76">
        <f t="shared" si="5"/>
        <v>1387.5</v>
      </c>
      <c r="X76">
        <f>D76*Food_DB!$D$2+E76/100*Food_DB!$D$3+F76/30*Food_DB!$D$4+G76*Food_DB!$D$5+H76/100*Food_DB!$D$6+I76/100*Food_DB!$D$7+IFERROR(K76/100*VLOOKUP(J76,Food_DB!$A$2:$F$14,4,FALSE),0)+L76*Food_DB!$D$8</f>
        <v>100.49999999999999</v>
      </c>
      <c r="Y76">
        <f>D76*Food_DB!$E$2+E76/100*Food_DB!$E$3+F76/30*Food_DB!$E$4+G76*Food_DB!$E$5+H76/100*Food_DB!$E$6+I76/100*Food_DB!$E$7+IFERROR(K76/100*VLOOKUP(J76,Food_DB!$A$2:$F$14,5,FALSE),0)+L76*Food_DB!$E$8</f>
        <v>32.35</v>
      </c>
      <c r="Z76">
        <f>D76*Food_DB!$F$2+E76/100*Food_DB!$F$3+F76/30*Food_DB!$F$4+G76*Food_DB!$F$5+H76/100*Food_DB!$F$6+I76/100*Food_DB!$F$7+IFERROR(K76/100*VLOOKUP(J76,Food_DB!$A$2:$F$14,6,FALSE),0)+L76*Food_DB!$F$8</f>
        <v>178.15</v>
      </c>
      <c r="AA76">
        <v>6.5</v>
      </c>
      <c r="AB76">
        <v>30</v>
      </c>
      <c r="AC76">
        <v>0</v>
      </c>
      <c r="AD76">
        <v>0</v>
      </c>
      <c r="AE76">
        <f>Dashboard!$B$6*AA76+Dashboard!$B$6*4*AB76/60+Dashboard!$B$6*8*AC76/120+Dashboard!$B$6*7*AD76</f>
        <v>680</v>
      </c>
      <c r="AF76">
        <f>Dashboard!$B$5</f>
        <v>1700</v>
      </c>
      <c r="AG76">
        <f t="shared" si="6"/>
        <v>2720</v>
      </c>
      <c r="AH76">
        <f t="shared" si="7"/>
        <v>-1332.5</v>
      </c>
    </row>
    <row r="77" spans="1:34">
      <c r="A77">
        <v>46253</v>
      </c>
      <c r="B77" t="s">
        <v>92</v>
      </c>
      <c r="C77" t="s">
        <v>89</v>
      </c>
      <c r="D77">
        <v>2</v>
      </c>
      <c r="E77">
        <v>400</v>
      </c>
      <c r="F77">
        <v>30</v>
      </c>
      <c r="G77">
        <v>1</v>
      </c>
      <c r="H77">
        <v>150</v>
      </c>
      <c r="I77">
        <v>250</v>
      </c>
      <c r="J77" t="s">
        <v>90</v>
      </c>
      <c r="K77">
        <v>250</v>
      </c>
      <c r="L77">
        <v>3</v>
      </c>
      <c r="M77">
        <v>0</v>
      </c>
      <c r="N77">
        <f>D77*Food_DB!$C$2</f>
        <v>150</v>
      </c>
      <c r="O77">
        <f>E77/100*Food_DB!$C$3</f>
        <v>260</v>
      </c>
      <c r="P77">
        <f>F77/30*Food_DB!$C$4</f>
        <v>111</v>
      </c>
      <c r="Q77">
        <f>G77*Food_DB!$C$5</f>
        <v>222</v>
      </c>
      <c r="R77">
        <f>H77/100*Food_DB!$C$6</f>
        <v>12</v>
      </c>
      <c r="S77">
        <f>I77/100*Food_DB!$C$7</f>
        <v>62.5</v>
      </c>
      <c r="T77">
        <f>IFERROR(K77/100*VLOOKUP(J77,Food_DB!$A$2:$F$14,3,FALSE),0)</f>
        <v>575</v>
      </c>
      <c r="U77">
        <f>L77*Food_DB!$C$8</f>
        <v>270</v>
      </c>
      <c r="V77">
        <f t="shared" si="4"/>
        <v>0</v>
      </c>
      <c r="W77">
        <f t="shared" si="5"/>
        <v>1662.5</v>
      </c>
      <c r="X77">
        <f>D77*Food_DB!$D$2+E77/100*Food_DB!$D$3+F77/30*Food_DB!$D$4+G77*Food_DB!$D$5+H77/100*Food_DB!$D$6+I77/100*Food_DB!$D$7+IFERROR(K77/100*VLOOKUP(J77,Food_DB!$A$2:$F$14,4,FALSE),0)+L77*Food_DB!$D$8</f>
        <v>87.999999999999986</v>
      </c>
      <c r="Y77">
        <f>D77*Food_DB!$E$2+E77/100*Food_DB!$E$3+F77/30*Food_DB!$E$4+G77*Food_DB!$E$5+H77/100*Food_DB!$E$6+I77/100*Food_DB!$E$7+IFERROR(K77/100*VLOOKUP(J77,Food_DB!$A$2:$F$14,5,FALSE),0)+L77*Food_DB!$E$8</f>
        <v>68.599999999999994</v>
      </c>
      <c r="Z77">
        <f>D77*Food_DB!$F$2+E77/100*Food_DB!$F$3+F77/30*Food_DB!$F$4+G77*Food_DB!$F$5+H77/100*Food_DB!$F$6+I77/100*Food_DB!$F$7+IFERROR(K77/100*VLOOKUP(J77,Food_DB!$A$2:$F$14,6,FALSE),0)+L77*Food_DB!$F$8</f>
        <v>178.15</v>
      </c>
      <c r="AA77">
        <v>6.5</v>
      </c>
      <c r="AB77">
        <v>30</v>
      </c>
      <c r="AC77">
        <v>0</v>
      </c>
      <c r="AD77">
        <v>0</v>
      </c>
      <c r="AE77">
        <f>Dashboard!$B$6*AA77+Dashboard!$B$6*4*AB77/60+Dashboard!$B$6*8*AC77/120+Dashboard!$B$6*7*AD77</f>
        <v>680</v>
      </c>
      <c r="AF77">
        <f>Dashboard!$B$5</f>
        <v>1700</v>
      </c>
      <c r="AG77">
        <f t="shared" si="6"/>
        <v>2720</v>
      </c>
      <c r="AH77">
        <f t="shared" si="7"/>
        <v>-1057.5</v>
      </c>
    </row>
    <row r="78" spans="1:34">
      <c r="A78">
        <v>46254</v>
      </c>
      <c r="B78" t="s">
        <v>93</v>
      </c>
      <c r="C78" t="s">
        <v>89</v>
      </c>
      <c r="D78">
        <v>2</v>
      </c>
      <c r="E78">
        <v>400</v>
      </c>
      <c r="F78">
        <v>30</v>
      </c>
      <c r="G78">
        <v>1</v>
      </c>
      <c r="H78">
        <v>150</v>
      </c>
      <c r="I78">
        <v>250</v>
      </c>
      <c r="J78" t="s">
        <v>82</v>
      </c>
      <c r="K78">
        <v>250</v>
      </c>
      <c r="L78">
        <v>3</v>
      </c>
      <c r="M78">
        <v>0</v>
      </c>
      <c r="N78">
        <f>D78*Food_DB!$C$2</f>
        <v>150</v>
      </c>
      <c r="O78">
        <f>E78/100*Food_DB!$C$3</f>
        <v>260</v>
      </c>
      <c r="P78">
        <f>F78/30*Food_DB!$C$4</f>
        <v>111</v>
      </c>
      <c r="Q78">
        <f>G78*Food_DB!$C$5</f>
        <v>222</v>
      </c>
      <c r="R78">
        <f>H78/100*Food_DB!$C$6</f>
        <v>12</v>
      </c>
      <c r="S78">
        <f>I78/100*Food_DB!$C$7</f>
        <v>62.5</v>
      </c>
      <c r="T78">
        <f>IFERROR(K78/100*VLOOKUP(J78,Food_DB!$A$2:$F$14,3,FALSE),0)</f>
        <v>550</v>
      </c>
      <c r="U78">
        <f>L78*Food_DB!$C$8</f>
        <v>270</v>
      </c>
      <c r="V78">
        <f t="shared" si="4"/>
        <v>0</v>
      </c>
      <c r="W78">
        <f t="shared" si="5"/>
        <v>1637.5</v>
      </c>
      <c r="X78">
        <f>D78*Food_DB!$D$2+E78/100*Food_DB!$D$3+F78/30*Food_DB!$D$4+G78*Food_DB!$D$5+H78/100*Food_DB!$D$6+I78/100*Food_DB!$D$7+IFERROR(K78/100*VLOOKUP(J78,Food_DB!$A$2:$F$14,4,FALSE),0)+L78*Food_DB!$D$8</f>
        <v>92.999999999999986</v>
      </c>
      <c r="Y78">
        <f>D78*Food_DB!$E$2+E78/100*Food_DB!$E$3+F78/30*Food_DB!$E$4+G78*Food_DB!$E$5+H78/100*Food_DB!$E$6+I78/100*Food_DB!$E$7+IFERROR(K78/100*VLOOKUP(J78,Food_DB!$A$2:$F$14,5,FALSE),0)+L78*Food_DB!$E$8</f>
        <v>63.6</v>
      </c>
      <c r="Z78">
        <f>D78*Food_DB!$F$2+E78/100*Food_DB!$F$3+F78/30*Food_DB!$F$4+G78*Food_DB!$F$5+H78/100*Food_DB!$F$6+I78/100*Food_DB!$F$7+IFERROR(K78/100*VLOOKUP(J78,Food_DB!$A$2:$F$14,6,FALSE),0)+L78*Food_DB!$F$8</f>
        <v>178.15</v>
      </c>
      <c r="AA78">
        <v>6.5</v>
      </c>
      <c r="AB78">
        <v>30</v>
      </c>
      <c r="AC78">
        <v>0</v>
      </c>
      <c r="AD78">
        <v>0</v>
      </c>
      <c r="AE78">
        <f>Dashboard!$B$6*AA78+Dashboard!$B$6*4*AB78/60+Dashboard!$B$6*8*AC78/120+Dashboard!$B$6*7*AD78</f>
        <v>680</v>
      </c>
      <c r="AF78">
        <f>Dashboard!$B$5</f>
        <v>1700</v>
      </c>
      <c r="AG78">
        <f t="shared" si="6"/>
        <v>2720</v>
      </c>
      <c r="AH78">
        <f t="shared" si="7"/>
        <v>-1082.5</v>
      </c>
    </row>
    <row r="79" spans="1:34">
      <c r="A79">
        <v>46255</v>
      </c>
      <c r="B79" t="s">
        <v>80</v>
      </c>
      <c r="C79" t="s">
        <v>81</v>
      </c>
      <c r="D79">
        <v>2</v>
      </c>
      <c r="E79">
        <v>400</v>
      </c>
      <c r="F79">
        <v>30</v>
      </c>
      <c r="G79">
        <v>1</v>
      </c>
      <c r="H79">
        <v>150</v>
      </c>
      <c r="I79">
        <v>250</v>
      </c>
      <c r="J79" t="s">
        <v>85</v>
      </c>
      <c r="K79">
        <v>250</v>
      </c>
      <c r="L79">
        <v>3</v>
      </c>
      <c r="M79">
        <v>1000</v>
      </c>
      <c r="N79">
        <f>D79*Food_DB!$C$2</f>
        <v>150</v>
      </c>
      <c r="O79">
        <f>E79/100*Food_DB!$C$3</f>
        <v>260</v>
      </c>
      <c r="P79">
        <f>F79/30*Food_DB!$C$4</f>
        <v>111</v>
      </c>
      <c r="Q79">
        <f>G79*Food_DB!$C$5</f>
        <v>222</v>
      </c>
      <c r="R79">
        <f>H79/100*Food_DB!$C$6</f>
        <v>12</v>
      </c>
      <c r="S79">
        <f>I79/100*Food_DB!$C$7</f>
        <v>62.5</v>
      </c>
      <c r="T79">
        <f>IFERROR(K79/100*VLOOKUP(J79,Food_DB!$A$2:$F$14,3,FALSE),0)</f>
        <v>450</v>
      </c>
      <c r="U79">
        <f>L79*Food_DB!$C$8</f>
        <v>270</v>
      </c>
      <c r="V79">
        <f t="shared" si="4"/>
        <v>1000</v>
      </c>
      <c r="W79">
        <f t="shared" si="5"/>
        <v>2537.5</v>
      </c>
      <c r="X79">
        <f>D79*Food_DB!$D$2+E79/100*Food_DB!$D$3+F79/30*Food_DB!$D$4+G79*Food_DB!$D$5+H79/100*Food_DB!$D$6+I79/100*Food_DB!$D$7+IFERROR(K79/100*VLOOKUP(J79,Food_DB!$A$2:$F$14,4,FALSE),0)+L79*Food_DB!$D$8</f>
        <v>92.999999999999986</v>
      </c>
      <c r="Y79">
        <f>D79*Food_DB!$E$2+E79/100*Food_DB!$E$3+F79/30*Food_DB!$E$4+G79*Food_DB!$E$5+H79/100*Food_DB!$E$6+I79/100*Food_DB!$E$7+IFERROR(K79/100*VLOOKUP(J79,Food_DB!$A$2:$F$14,5,FALSE),0)+L79*Food_DB!$E$8</f>
        <v>51.1</v>
      </c>
      <c r="Z79">
        <f>D79*Food_DB!$F$2+E79/100*Food_DB!$F$3+F79/30*Food_DB!$F$4+G79*Food_DB!$F$5+H79/100*Food_DB!$F$6+I79/100*Food_DB!$F$7+IFERROR(K79/100*VLOOKUP(J79,Food_DB!$A$2:$F$14,6,FALSE),0)+L79*Food_DB!$F$8</f>
        <v>178.15</v>
      </c>
      <c r="AA79">
        <v>6.5</v>
      </c>
      <c r="AB79">
        <v>30</v>
      </c>
      <c r="AC79">
        <v>0</v>
      </c>
      <c r="AD79">
        <v>0</v>
      </c>
      <c r="AE79">
        <f>Dashboard!$B$6*AA79+Dashboard!$B$6*4*AB79/60+Dashboard!$B$6*8*AC79/120+Dashboard!$B$6*7*AD79</f>
        <v>680</v>
      </c>
      <c r="AF79">
        <f>Dashboard!$B$5</f>
        <v>1700</v>
      </c>
      <c r="AG79">
        <f t="shared" si="6"/>
        <v>2720</v>
      </c>
      <c r="AH79">
        <f t="shared" si="7"/>
        <v>-182.5</v>
      </c>
    </row>
    <row r="80" spans="1:34">
      <c r="A80">
        <v>46256</v>
      </c>
      <c r="B80" t="s">
        <v>83</v>
      </c>
      <c r="C80" t="s">
        <v>84</v>
      </c>
      <c r="D80">
        <v>2</v>
      </c>
      <c r="E80">
        <v>400</v>
      </c>
      <c r="F80">
        <v>30</v>
      </c>
      <c r="G80">
        <v>1</v>
      </c>
      <c r="H80">
        <v>150</v>
      </c>
      <c r="I80">
        <v>250</v>
      </c>
      <c r="J80" t="s">
        <v>87</v>
      </c>
      <c r="K80">
        <v>250</v>
      </c>
      <c r="L80">
        <v>3</v>
      </c>
      <c r="M80">
        <v>0</v>
      </c>
      <c r="N80">
        <f>D80*Food_DB!$C$2</f>
        <v>150</v>
      </c>
      <c r="O80">
        <f>E80/100*Food_DB!$C$3</f>
        <v>260</v>
      </c>
      <c r="P80">
        <f>F80/30*Food_DB!$C$4</f>
        <v>111</v>
      </c>
      <c r="Q80">
        <f>G80*Food_DB!$C$5</f>
        <v>222</v>
      </c>
      <c r="R80">
        <f>H80/100*Food_DB!$C$6</f>
        <v>12</v>
      </c>
      <c r="S80">
        <f>I80/100*Food_DB!$C$7</f>
        <v>62.5</v>
      </c>
      <c r="T80">
        <f>IFERROR(K80/100*VLOOKUP(J80,Food_DB!$A$2:$F$14,3,FALSE),0)</f>
        <v>300</v>
      </c>
      <c r="U80">
        <f>L80*Food_DB!$C$8</f>
        <v>270</v>
      </c>
      <c r="V80">
        <f t="shared" si="4"/>
        <v>0</v>
      </c>
      <c r="W80">
        <f t="shared" si="5"/>
        <v>1387.5</v>
      </c>
      <c r="X80">
        <f>D80*Food_DB!$D$2+E80/100*Food_DB!$D$3+F80/30*Food_DB!$D$4+G80*Food_DB!$D$5+H80/100*Food_DB!$D$6+I80/100*Food_DB!$D$7+IFERROR(K80/100*VLOOKUP(J80,Food_DB!$A$2:$F$14,4,FALSE),0)+L80*Food_DB!$D$8</f>
        <v>100.49999999999999</v>
      </c>
      <c r="Y80">
        <f>D80*Food_DB!$E$2+E80/100*Food_DB!$E$3+F80/30*Food_DB!$E$4+G80*Food_DB!$E$5+H80/100*Food_DB!$E$6+I80/100*Food_DB!$E$7+IFERROR(K80/100*VLOOKUP(J80,Food_DB!$A$2:$F$14,5,FALSE),0)+L80*Food_DB!$E$8</f>
        <v>32.35</v>
      </c>
      <c r="Z80">
        <f>D80*Food_DB!$F$2+E80/100*Food_DB!$F$3+F80/30*Food_DB!$F$4+G80*Food_DB!$F$5+H80/100*Food_DB!$F$6+I80/100*Food_DB!$F$7+IFERROR(K80/100*VLOOKUP(J80,Food_DB!$A$2:$F$14,6,FALSE),0)+L80*Food_DB!$F$8</f>
        <v>178.15</v>
      </c>
      <c r="AA80">
        <v>0</v>
      </c>
      <c r="AB80">
        <v>0</v>
      </c>
      <c r="AC80">
        <v>0</v>
      </c>
      <c r="AD80">
        <v>3.5</v>
      </c>
      <c r="AE80">
        <f>Dashboard!$B$6*AA80+Dashboard!$B$6*4*AB80/60+Dashboard!$B$6*8*AC80/120+Dashboard!$B$6*7*AD80</f>
        <v>1960</v>
      </c>
      <c r="AF80">
        <f>Dashboard!$B$5</f>
        <v>1700</v>
      </c>
      <c r="AG80">
        <f t="shared" si="6"/>
        <v>4000</v>
      </c>
      <c r="AH80">
        <f t="shared" si="7"/>
        <v>-2612.5</v>
      </c>
    </row>
    <row r="81" spans="1:34">
      <c r="A81">
        <v>46257</v>
      </c>
      <c r="B81" t="s">
        <v>86</v>
      </c>
      <c r="C81" t="s">
        <v>84</v>
      </c>
      <c r="D81">
        <v>2</v>
      </c>
      <c r="E81">
        <v>400</v>
      </c>
      <c r="F81">
        <v>30</v>
      </c>
      <c r="G81">
        <v>1</v>
      </c>
      <c r="H81">
        <v>150</v>
      </c>
      <c r="I81">
        <v>250</v>
      </c>
      <c r="J81" t="s">
        <v>90</v>
      </c>
      <c r="K81">
        <v>250</v>
      </c>
      <c r="L81">
        <v>3</v>
      </c>
      <c r="M81">
        <v>0</v>
      </c>
      <c r="N81">
        <f>D81*Food_DB!$C$2</f>
        <v>150</v>
      </c>
      <c r="O81">
        <f>E81/100*Food_DB!$C$3</f>
        <v>260</v>
      </c>
      <c r="P81">
        <f>F81/30*Food_DB!$C$4</f>
        <v>111</v>
      </c>
      <c r="Q81">
        <f>G81*Food_DB!$C$5</f>
        <v>222</v>
      </c>
      <c r="R81">
        <f>H81/100*Food_DB!$C$6</f>
        <v>12</v>
      </c>
      <c r="S81">
        <f>I81/100*Food_DB!$C$7</f>
        <v>62.5</v>
      </c>
      <c r="T81">
        <f>IFERROR(K81/100*VLOOKUP(J81,Food_DB!$A$2:$F$14,3,FALSE),0)</f>
        <v>575</v>
      </c>
      <c r="U81">
        <f>L81*Food_DB!$C$8</f>
        <v>270</v>
      </c>
      <c r="V81">
        <f t="shared" si="4"/>
        <v>0</v>
      </c>
      <c r="W81">
        <f t="shared" si="5"/>
        <v>1662.5</v>
      </c>
      <c r="X81">
        <f>D81*Food_DB!$D$2+E81/100*Food_DB!$D$3+F81/30*Food_DB!$D$4+G81*Food_DB!$D$5+H81/100*Food_DB!$D$6+I81/100*Food_DB!$D$7+IFERROR(K81/100*VLOOKUP(J81,Food_DB!$A$2:$F$14,4,FALSE),0)+L81*Food_DB!$D$8</f>
        <v>87.999999999999986</v>
      </c>
      <c r="Y81">
        <f>D81*Food_DB!$E$2+E81/100*Food_DB!$E$3+F81/30*Food_DB!$E$4+G81*Food_DB!$E$5+H81/100*Food_DB!$E$6+I81/100*Food_DB!$E$7+IFERROR(K81/100*VLOOKUP(J81,Food_DB!$A$2:$F$14,5,FALSE),0)+L81*Food_DB!$E$8</f>
        <v>68.599999999999994</v>
      </c>
      <c r="Z81">
        <f>D81*Food_DB!$F$2+E81/100*Food_DB!$F$3+F81/30*Food_DB!$F$4+G81*Food_DB!$F$5+H81/100*Food_DB!$F$6+I81/100*Food_DB!$F$7+IFERROR(K81/100*VLOOKUP(J81,Food_DB!$A$2:$F$14,6,FALSE),0)+L81*Food_DB!$F$8</f>
        <v>178.15</v>
      </c>
      <c r="AA81">
        <v>0</v>
      </c>
      <c r="AB81">
        <v>0</v>
      </c>
      <c r="AC81">
        <v>0</v>
      </c>
      <c r="AD81">
        <v>3.5</v>
      </c>
      <c r="AE81">
        <f>Dashboard!$B$6*AA81+Dashboard!$B$6*4*AB81/60+Dashboard!$B$6*8*AC81/120+Dashboard!$B$6*7*AD81</f>
        <v>1960</v>
      </c>
      <c r="AF81">
        <f>Dashboard!$B$5</f>
        <v>1700</v>
      </c>
      <c r="AG81">
        <f t="shared" si="6"/>
        <v>4000</v>
      </c>
      <c r="AH81">
        <f t="shared" si="7"/>
        <v>-2337.5</v>
      </c>
    </row>
    <row r="82" spans="1:34">
      <c r="A82">
        <v>46258</v>
      </c>
      <c r="B82" t="s">
        <v>88</v>
      </c>
      <c r="C82" t="s">
        <v>89</v>
      </c>
      <c r="D82">
        <v>2</v>
      </c>
      <c r="E82">
        <v>400</v>
      </c>
      <c r="F82">
        <v>30</v>
      </c>
      <c r="G82">
        <v>1</v>
      </c>
      <c r="H82">
        <v>150</v>
      </c>
      <c r="I82">
        <v>250</v>
      </c>
      <c r="J82" t="s">
        <v>82</v>
      </c>
      <c r="K82">
        <v>250</v>
      </c>
      <c r="L82">
        <v>3</v>
      </c>
      <c r="M82">
        <v>0</v>
      </c>
      <c r="N82">
        <f>D82*Food_DB!$C$2</f>
        <v>150</v>
      </c>
      <c r="O82">
        <f>E82/100*Food_DB!$C$3</f>
        <v>260</v>
      </c>
      <c r="P82">
        <f>F82/30*Food_DB!$C$4</f>
        <v>111</v>
      </c>
      <c r="Q82">
        <f>G82*Food_DB!$C$5</f>
        <v>222</v>
      </c>
      <c r="R82">
        <f>H82/100*Food_DB!$C$6</f>
        <v>12</v>
      </c>
      <c r="S82">
        <f>I82/100*Food_DB!$C$7</f>
        <v>62.5</v>
      </c>
      <c r="T82">
        <f>IFERROR(K82/100*VLOOKUP(J82,Food_DB!$A$2:$F$14,3,FALSE),0)</f>
        <v>550</v>
      </c>
      <c r="U82">
        <f>L82*Food_DB!$C$8</f>
        <v>270</v>
      </c>
      <c r="V82">
        <f t="shared" si="4"/>
        <v>0</v>
      </c>
      <c r="W82">
        <f t="shared" si="5"/>
        <v>1637.5</v>
      </c>
      <c r="X82">
        <f>D82*Food_DB!$D$2+E82/100*Food_DB!$D$3+F82/30*Food_DB!$D$4+G82*Food_DB!$D$5+H82/100*Food_DB!$D$6+I82/100*Food_DB!$D$7+IFERROR(K82/100*VLOOKUP(J82,Food_DB!$A$2:$F$14,4,FALSE),0)+L82*Food_DB!$D$8</f>
        <v>92.999999999999986</v>
      </c>
      <c r="Y82">
        <f>D82*Food_DB!$E$2+E82/100*Food_DB!$E$3+F82/30*Food_DB!$E$4+G82*Food_DB!$E$5+H82/100*Food_DB!$E$6+I82/100*Food_DB!$E$7+IFERROR(K82/100*VLOOKUP(J82,Food_DB!$A$2:$F$14,5,FALSE),0)+L82*Food_DB!$E$8</f>
        <v>63.6</v>
      </c>
      <c r="Z82">
        <f>D82*Food_DB!$F$2+E82/100*Food_DB!$F$3+F82/30*Food_DB!$F$4+G82*Food_DB!$F$5+H82/100*Food_DB!$F$6+I82/100*Food_DB!$F$7+IFERROR(K82/100*VLOOKUP(J82,Food_DB!$A$2:$F$14,6,FALSE),0)+L82*Food_DB!$F$8</f>
        <v>178.15</v>
      </c>
      <c r="AA82">
        <v>6.5</v>
      </c>
      <c r="AB82">
        <v>30</v>
      </c>
      <c r="AC82">
        <v>0</v>
      </c>
      <c r="AD82">
        <v>0</v>
      </c>
      <c r="AE82">
        <f>Dashboard!$B$6*AA82+Dashboard!$B$6*4*AB82/60+Dashboard!$B$6*8*AC82/120+Dashboard!$B$6*7*AD82</f>
        <v>680</v>
      </c>
      <c r="AF82">
        <f>Dashboard!$B$5</f>
        <v>1700</v>
      </c>
      <c r="AG82">
        <f t="shared" si="6"/>
        <v>2720</v>
      </c>
      <c r="AH82">
        <f t="shared" si="7"/>
        <v>-1082.5</v>
      </c>
    </row>
    <row r="83" spans="1:34">
      <c r="A83">
        <v>46259</v>
      </c>
      <c r="B83" t="s">
        <v>91</v>
      </c>
      <c r="C83" t="s">
        <v>89</v>
      </c>
      <c r="D83">
        <v>2</v>
      </c>
      <c r="E83">
        <v>400</v>
      </c>
      <c r="F83">
        <v>30</v>
      </c>
      <c r="G83">
        <v>1</v>
      </c>
      <c r="H83">
        <v>150</v>
      </c>
      <c r="I83">
        <v>250</v>
      </c>
      <c r="J83" t="s">
        <v>85</v>
      </c>
      <c r="K83">
        <v>250</v>
      </c>
      <c r="L83">
        <v>3</v>
      </c>
      <c r="M83">
        <v>0</v>
      </c>
      <c r="N83">
        <f>D83*Food_DB!$C$2</f>
        <v>150</v>
      </c>
      <c r="O83">
        <f>E83/100*Food_DB!$C$3</f>
        <v>260</v>
      </c>
      <c r="P83">
        <f>F83/30*Food_DB!$C$4</f>
        <v>111</v>
      </c>
      <c r="Q83">
        <f>G83*Food_DB!$C$5</f>
        <v>222</v>
      </c>
      <c r="R83">
        <f>H83/100*Food_DB!$C$6</f>
        <v>12</v>
      </c>
      <c r="S83">
        <f>I83/100*Food_DB!$C$7</f>
        <v>62.5</v>
      </c>
      <c r="T83">
        <f>IFERROR(K83/100*VLOOKUP(J83,Food_DB!$A$2:$F$14,3,FALSE),0)</f>
        <v>450</v>
      </c>
      <c r="U83">
        <f>L83*Food_DB!$C$8</f>
        <v>270</v>
      </c>
      <c r="V83">
        <f t="shared" si="4"/>
        <v>0</v>
      </c>
      <c r="W83">
        <f t="shared" si="5"/>
        <v>1537.5</v>
      </c>
      <c r="X83">
        <f>D83*Food_DB!$D$2+E83/100*Food_DB!$D$3+F83/30*Food_DB!$D$4+G83*Food_DB!$D$5+H83/100*Food_DB!$D$6+I83/100*Food_DB!$D$7+IFERROR(K83/100*VLOOKUP(J83,Food_DB!$A$2:$F$14,4,FALSE),0)+L83*Food_DB!$D$8</f>
        <v>92.999999999999986</v>
      </c>
      <c r="Y83">
        <f>D83*Food_DB!$E$2+E83/100*Food_DB!$E$3+F83/30*Food_DB!$E$4+G83*Food_DB!$E$5+H83/100*Food_DB!$E$6+I83/100*Food_DB!$E$7+IFERROR(K83/100*VLOOKUP(J83,Food_DB!$A$2:$F$14,5,FALSE),0)+L83*Food_DB!$E$8</f>
        <v>51.1</v>
      </c>
      <c r="Z83">
        <f>D83*Food_DB!$F$2+E83/100*Food_DB!$F$3+F83/30*Food_DB!$F$4+G83*Food_DB!$F$5+H83/100*Food_DB!$F$6+I83/100*Food_DB!$F$7+IFERROR(K83/100*VLOOKUP(J83,Food_DB!$A$2:$F$14,6,FALSE),0)+L83*Food_DB!$F$8</f>
        <v>178.15</v>
      </c>
      <c r="AA83">
        <v>6.5</v>
      </c>
      <c r="AB83">
        <v>30</v>
      </c>
      <c r="AC83">
        <v>0</v>
      </c>
      <c r="AD83">
        <v>0</v>
      </c>
      <c r="AE83">
        <f>Dashboard!$B$6*AA83+Dashboard!$B$6*4*AB83/60+Dashboard!$B$6*8*AC83/120+Dashboard!$B$6*7*AD83</f>
        <v>680</v>
      </c>
      <c r="AF83">
        <f>Dashboard!$B$5</f>
        <v>1700</v>
      </c>
      <c r="AG83">
        <f t="shared" si="6"/>
        <v>2720</v>
      </c>
      <c r="AH83">
        <f t="shared" si="7"/>
        <v>-1182.5</v>
      </c>
    </row>
    <row r="84" spans="1:34">
      <c r="A84">
        <v>46260</v>
      </c>
      <c r="B84" t="s">
        <v>92</v>
      </c>
      <c r="C84" t="s">
        <v>89</v>
      </c>
      <c r="D84">
        <v>2</v>
      </c>
      <c r="E84">
        <v>400</v>
      </c>
      <c r="F84">
        <v>30</v>
      </c>
      <c r="G84">
        <v>1</v>
      </c>
      <c r="H84">
        <v>150</v>
      </c>
      <c r="I84">
        <v>250</v>
      </c>
      <c r="J84" t="s">
        <v>87</v>
      </c>
      <c r="K84">
        <v>250</v>
      </c>
      <c r="L84">
        <v>3</v>
      </c>
      <c r="M84">
        <v>0</v>
      </c>
      <c r="N84">
        <f>D84*Food_DB!$C$2</f>
        <v>150</v>
      </c>
      <c r="O84">
        <f>E84/100*Food_DB!$C$3</f>
        <v>260</v>
      </c>
      <c r="P84">
        <f>F84/30*Food_DB!$C$4</f>
        <v>111</v>
      </c>
      <c r="Q84">
        <f>G84*Food_DB!$C$5</f>
        <v>222</v>
      </c>
      <c r="R84">
        <f>H84/100*Food_DB!$C$6</f>
        <v>12</v>
      </c>
      <c r="S84">
        <f>I84/100*Food_DB!$C$7</f>
        <v>62.5</v>
      </c>
      <c r="T84">
        <f>IFERROR(K84/100*VLOOKUP(J84,Food_DB!$A$2:$F$14,3,FALSE),0)</f>
        <v>300</v>
      </c>
      <c r="U84">
        <f>L84*Food_DB!$C$8</f>
        <v>270</v>
      </c>
      <c r="V84">
        <f t="shared" si="4"/>
        <v>0</v>
      </c>
      <c r="W84">
        <f t="shared" si="5"/>
        <v>1387.5</v>
      </c>
      <c r="X84">
        <f>D84*Food_DB!$D$2+E84/100*Food_DB!$D$3+F84/30*Food_DB!$D$4+G84*Food_DB!$D$5+H84/100*Food_DB!$D$6+I84/100*Food_DB!$D$7+IFERROR(K84/100*VLOOKUP(J84,Food_DB!$A$2:$F$14,4,FALSE),0)+L84*Food_DB!$D$8</f>
        <v>100.49999999999999</v>
      </c>
      <c r="Y84">
        <f>D84*Food_DB!$E$2+E84/100*Food_DB!$E$3+F84/30*Food_DB!$E$4+G84*Food_DB!$E$5+H84/100*Food_DB!$E$6+I84/100*Food_DB!$E$7+IFERROR(K84/100*VLOOKUP(J84,Food_DB!$A$2:$F$14,5,FALSE),0)+L84*Food_DB!$E$8</f>
        <v>32.35</v>
      </c>
      <c r="Z84">
        <f>D84*Food_DB!$F$2+E84/100*Food_DB!$F$3+F84/30*Food_DB!$F$4+G84*Food_DB!$F$5+H84/100*Food_DB!$F$6+I84/100*Food_DB!$F$7+IFERROR(K84/100*VLOOKUP(J84,Food_DB!$A$2:$F$14,6,FALSE),0)+L84*Food_DB!$F$8</f>
        <v>178.15</v>
      </c>
      <c r="AA84">
        <v>6.5</v>
      </c>
      <c r="AB84">
        <v>30</v>
      </c>
      <c r="AC84">
        <v>0</v>
      </c>
      <c r="AD84">
        <v>0</v>
      </c>
      <c r="AE84">
        <f>Dashboard!$B$6*AA84+Dashboard!$B$6*4*AB84/60+Dashboard!$B$6*8*AC84/120+Dashboard!$B$6*7*AD84</f>
        <v>680</v>
      </c>
      <c r="AF84">
        <f>Dashboard!$B$5</f>
        <v>1700</v>
      </c>
      <c r="AG84">
        <f t="shared" si="6"/>
        <v>2720</v>
      </c>
      <c r="AH84">
        <f t="shared" si="7"/>
        <v>-1332.5</v>
      </c>
    </row>
    <row r="85" spans="1:34">
      <c r="A85">
        <v>46261</v>
      </c>
      <c r="B85" t="s">
        <v>93</v>
      </c>
      <c r="C85" t="s">
        <v>89</v>
      </c>
      <c r="D85">
        <v>2</v>
      </c>
      <c r="E85">
        <v>400</v>
      </c>
      <c r="F85">
        <v>30</v>
      </c>
      <c r="G85">
        <v>1</v>
      </c>
      <c r="H85">
        <v>150</v>
      </c>
      <c r="I85">
        <v>250</v>
      </c>
      <c r="J85" t="s">
        <v>90</v>
      </c>
      <c r="K85">
        <v>250</v>
      </c>
      <c r="L85">
        <v>3</v>
      </c>
      <c r="M85">
        <v>0</v>
      </c>
      <c r="N85">
        <f>D85*Food_DB!$C$2</f>
        <v>150</v>
      </c>
      <c r="O85">
        <f>E85/100*Food_DB!$C$3</f>
        <v>260</v>
      </c>
      <c r="P85">
        <f>F85/30*Food_DB!$C$4</f>
        <v>111</v>
      </c>
      <c r="Q85">
        <f>G85*Food_DB!$C$5</f>
        <v>222</v>
      </c>
      <c r="R85">
        <f>H85/100*Food_DB!$C$6</f>
        <v>12</v>
      </c>
      <c r="S85">
        <f>I85/100*Food_DB!$C$7</f>
        <v>62.5</v>
      </c>
      <c r="T85">
        <f>IFERROR(K85/100*VLOOKUP(J85,Food_DB!$A$2:$F$14,3,FALSE),0)</f>
        <v>575</v>
      </c>
      <c r="U85">
        <f>L85*Food_DB!$C$8</f>
        <v>270</v>
      </c>
      <c r="V85">
        <f t="shared" si="4"/>
        <v>0</v>
      </c>
      <c r="W85">
        <f t="shared" si="5"/>
        <v>1662.5</v>
      </c>
      <c r="X85">
        <f>D85*Food_DB!$D$2+E85/100*Food_DB!$D$3+F85/30*Food_DB!$D$4+G85*Food_DB!$D$5+H85/100*Food_DB!$D$6+I85/100*Food_DB!$D$7+IFERROR(K85/100*VLOOKUP(J85,Food_DB!$A$2:$F$14,4,FALSE),0)+L85*Food_DB!$D$8</f>
        <v>87.999999999999986</v>
      </c>
      <c r="Y85">
        <f>D85*Food_DB!$E$2+E85/100*Food_DB!$E$3+F85/30*Food_DB!$E$4+G85*Food_DB!$E$5+H85/100*Food_DB!$E$6+I85/100*Food_DB!$E$7+IFERROR(K85/100*VLOOKUP(J85,Food_DB!$A$2:$F$14,5,FALSE),0)+L85*Food_DB!$E$8</f>
        <v>68.599999999999994</v>
      </c>
      <c r="Z85">
        <f>D85*Food_DB!$F$2+E85/100*Food_DB!$F$3+F85/30*Food_DB!$F$4+G85*Food_DB!$F$5+H85/100*Food_DB!$F$6+I85/100*Food_DB!$F$7+IFERROR(K85/100*VLOOKUP(J85,Food_DB!$A$2:$F$14,6,FALSE),0)+L85*Food_DB!$F$8</f>
        <v>178.15</v>
      </c>
      <c r="AA85">
        <v>6.5</v>
      </c>
      <c r="AB85">
        <v>30</v>
      </c>
      <c r="AC85">
        <v>0</v>
      </c>
      <c r="AD85">
        <v>0</v>
      </c>
      <c r="AE85">
        <f>Dashboard!$B$6*AA85+Dashboard!$B$6*4*AB85/60+Dashboard!$B$6*8*AC85/120+Dashboard!$B$6*7*AD85</f>
        <v>680</v>
      </c>
      <c r="AF85">
        <f>Dashboard!$B$5</f>
        <v>1700</v>
      </c>
      <c r="AG85">
        <f t="shared" si="6"/>
        <v>2720</v>
      </c>
      <c r="AH85">
        <f t="shared" si="7"/>
        <v>-1057.5</v>
      </c>
    </row>
    <row r="86" spans="1:34">
      <c r="A86">
        <v>46262</v>
      </c>
      <c r="B86" t="s">
        <v>80</v>
      </c>
      <c r="C86" t="s">
        <v>81</v>
      </c>
      <c r="D86">
        <v>2</v>
      </c>
      <c r="E86">
        <v>400</v>
      </c>
      <c r="F86">
        <v>30</v>
      </c>
      <c r="G86">
        <v>1</v>
      </c>
      <c r="H86">
        <v>150</v>
      </c>
      <c r="I86">
        <v>250</v>
      </c>
      <c r="J86" t="s">
        <v>82</v>
      </c>
      <c r="K86">
        <v>250</v>
      </c>
      <c r="L86">
        <v>3</v>
      </c>
      <c r="M86">
        <v>1000</v>
      </c>
      <c r="N86">
        <f>D86*Food_DB!$C$2</f>
        <v>150</v>
      </c>
      <c r="O86">
        <f>E86/100*Food_DB!$C$3</f>
        <v>260</v>
      </c>
      <c r="P86">
        <f>F86/30*Food_DB!$C$4</f>
        <v>111</v>
      </c>
      <c r="Q86">
        <f>G86*Food_DB!$C$5</f>
        <v>222</v>
      </c>
      <c r="R86">
        <f>H86/100*Food_DB!$C$6</f>
        <v>12</v>
      </c>
      <c r="S86">
        <f>I86/100*Food_DB!$C$7</f>
        <v>62.5</v>
      </c>
      <c r="T86">
        <f>IFERROR(K86/100*VLOOKUP(J86,Food_DB!$A$2:$F$14,3,FALSE),0)</f>
        <v>550</v>
      </c>
      <c r="U86">
        <f>L86*Food_DB!$C$8</f>
        <v>270</v>
      </c>
      <c r="V86">
        <f t="shared" si="4"/>
        <v>1000</v>
      </c>
      <c r="W86">
        <f t="shared" si="5"/>
        <v>2637.5</v>
      </c>
      <c r="X86">
        <f>D86*Food_DB!$D$2+E86/100*Food_DB!$D$3+F86/30*Food_DB!$D$4+G86*Food_DB!$D$5+H86/100*Food_DB!$D$6+I86/100*Food_DB!$D$7+IFERROR(K86/100*VLOOKUP(J86,Food_DB!$A$2:$F$14,4,FALSE),0)+L86*Food_DB!$D$8</f>
        <v>92.999999999999986</v>
      </c>
      <c r="Y86">
        <f>D86*Food_DB!$E$2+E86/100*Food_DB!$E$3+F86/30*Food_DB!$E$4+G86*Food_DB!$E$5+H86/100*Food_DB!$E$6+I86/100*Food_DB!$E$7+IFERROR(K86/100*VLOOKUP(J86,Food_DB!$A$2:$F$14,5,FALSE),0)+L86*Food_DB!$E$8</f>
        <v>63.6</v>
      </c>
      <c r="Z86">
        <f>D86*Food_DB!$F$2+E86/100*Food_DB!$F$3+F86/30*Food_DB!$F$4+G86*Food_DB!$F$5+H86/100*Food_DB!$F$6+I86/100*Food_DB!$F$7+IFERROR(K86/100*VLOOKUP(J86,Food_DB!$A$2:$F$14,6,FALSE),0)+L86*Food_DB!$F$8</f>
        <v>178.15</v>
      </c>
      <c r="AA86">
        <v>6.5</v>
      </c>
      <c r="AB86">
        <v>30</v>
      </c>
      <c r="AC86">
        <v>0</v>
      </c>
      <c r="AD86">
        <v>0</v>
      </c>
      <c r="AE86">
        <f>Dashboard!$B$6*AA86+Dashboard!$B$6*4*AB86/60+Dashboard!$B$6*8*AC86/120+Dashboard!$B$6*7*AD86</f>
        <v>680</v>
      </c>
      <c r="AF86">
        <f>Dashboard!$B$5</f>
        <v>1700</v>
      </c>
      <c r="AG86">
        <f t="shared" si="6"/>
        <v>2720</v>
      </c>
      <c r="AH86">
        <f t="shared" si="7"/>
        <v>-82.5</v>
      </c>
    </row>
    <row r="87" spans="1:34">
      <c r="A87">
        <v>46263</v>
      </c>
      <c r="B87" t="s">
        <v>83</v>
      </c>
      <c r="C87" t="s">
        <v>84</v>
      </c>
      <c r="D87">
        <v>2</v>
      </c>
      <c r="E87">
        <v>400</v>
      </c>
      <c r="F87">
        <v>30</v>
      </c>
      <c r="G87">
        <v>1</v>
      </c>
      <c r="H87">
        <v>150</v>
      </c>
      <c r="I87">
        <v>250</v>
      </c>
      <c r="J87" t="s">
        <v>85</v>
      </c>
      <c r="K87">
        <v>250</v>
      </c>
      <c r="L87">
        <v>3</v>
      </c>
      <c r="M87">
        <v>0</v>
      </c>
      <c r="N87">
        <f>D87*Food_DB!$C$2</f>
        <v>150</v>
      </c>
      <c r="O87">
        <f>E87/100*Food_DB!$C$3</f>
        <v>260</v>
      </c>
      <c r="P87">
        <f>F87/30*Food_DB!$C$4</f>
        <v>111</v>
      </c>
      <c r="Q87">
        <f>G87*Food_DB!$C$5</f>
        <v>222</v>
      </c>
      <c r="R87">
        <f>H87/100*Food_DB!$C$6</f>
        <v>12</v>
      </c>
      <c r="S87">
        <f>I87/100*Food_DB!$C$7</f>
        <v>62.5</v>
      </c>
      <c r="T87">
        <f>IFERROR(K87/100*VLOOKUP(J87,Food_DB!$A$2:$F$14,3,FALSE),0)</f>
        <v>450</v>
      </c>
      <c r="U87">
        <f>L87*Food_DB!$C$8</f>
        <v>270</v>
      </c>
      <c r="V87">
        <f t="shared" si="4"/>
        <v>0</v>
      </c>
      <c r="W87">
        <f t="shared" si="5"/>
        <v>1537.5</v>
      </c>
      <c r="X87">
        <f>D87*Food_DB!$D$2+E87/100*Food_DB!$D$3+F87/30*Food_DB!$D$4+G87*Food_DB!$D$5+H87/100*Food_DB!$D$6+I87/100*Food_DB!$D$7+IFERROR(K87/100*VLOOKUP(J87,Food_DB!$A$2:$F$14,4,FALSE),0)+L87*Food_DB!$D$8</f>
        <v>92.999999999999986</v>
      </c>
      <c r="Y87">
        <f>D87*Food_DB!$E$2+E87/100*Food_DB!$E$3+F87/30*Food_DB!$E$4+G87*Food_DB!$E$5+H87/100*Food_DB!$E$6+I87/100*Food_DB!$E$7+IFERROR(K87/100*VLOOKUP(J87,Food_DB!$A$2:$F$14,5,FALSE),0)+L87*Food_DB!$E$8</f>
        <v>51.1</v>
      </c>
      <c r="Z87">
        <f>D87*Food_DB!$F$2+E87/100*Food_DB!$F$3+F87/30*Food_DB!$F$4+G87*Food_DB!$F$5+H87/100*Food_DB!$F$6+I87/100*Food_DB!$F$7+IFERROR(K87/100*VLOOKUP(J87,Food_DB!$A$2:$F$14,6,FALSE),0)+L87*Food_DB!$F$8</f>
        <v>178.15</v>
      </c>
      <c r="AA87">
        <v>0</v>
      </c>
      <c r="AB87">
        <v>0</v>
      </c>
      <c r="AC87">
        <v>0</v>
      </c>
      <c r="AD87">
        <v>3.5</v>
      </c>
      <c r="AE87">
        <f>Dashboard!$B$6*AA87+Dashboard!$B$6*4*AB87/60+Dashboard!$B$6*8*AC87/120+Dashboard!$B$6*7*AD87</f>
        <v>1960</v>
      </c>
      <c r="AF87">
        <f>Dashboard!$B$5</f>
        <v>1700</v>
      </c>
      <c r="AG87">
        <f t="shared" si="6"/>
        <v>4000</v>
      </c>
      <c r="AH87">
        <f t="shared" si="7"/>
        <v>-2462.5</v>
      </c>
    </row>
    <row r="88" spans="1:34">
      <c r="A88">
        <v>46264</v>
      </c>
      <c r="B88" t="s">
        <v>86</v>
      </c>
      <c r="C88" t="s">
        <v>84</v>
      </c>
      <c r="D88">
        <v>2</v>
      </c>
      <c r="E88">
        <v>400</v>
      </c>
      <c r="F88">
        <v>30</v>
      </c>
      <c r="G88">
        <v>1</v>
      </c>
      <c r="H88">
        <v>150</v>
      </c>
      <c r="I88">
        <v>250</v>
      </c>
      <c r="J88" t="s">
        <v>87</v>
      </c>
      <c r="K88">
        <v>250</v>
      </c>
      <c r="L88">
        <v>3</v>
      </c>
      <c r="M88">
        <v>0</v>
      </c>
      <c r="N88">
        <f>D88*Food_DB!$C$2</f>
        <v>150</v>
      </c>
      <c r="O88">
        <f>E88/100*Food_DB!$C$3</f>
        <v>260</v>
      </c>
      <c r="P88">
        <f>F88/30*Food_DB!$C$4</f>
        <v>111</v>
      </c>
      <c r="Q88">
        <f>G88*Food_DB!$C$5</f>
        <v>222</v>
      </c>
      <c r="R88">
        <f>H88/100*Food_DB!$C$6</f>
        <v>12</v>
      </c>
      <c r="S88">
        <f>I88/100*Food_DB!$C$7</f>
        <v>62.5</v>
      </c>
      <c r="T88">
        <f>IFERROR(K88/100*VLOOKUP(J88,Food_DB!$A$2:$F$14,3,FALSE),0)</f>
        <v>300</v>
      </c>
      <c r="U88">
        <f>L88*Food_DB!$C$8</f>
        <v>270</v>
      </c>
      <c r="V88">
        <f t="shared" si="4"/>
        <v>0</v>
      </c>
      <c r="W88">
        <f t="shared" si="5"/>
        <v>1387.5</v>
      </c>
      <c r="X88">
        <f>D88*Food_DB!$D$2+E88/100*Food_DB!$D$3+F88/30*Food_DB!$D$4+G88*Food_DB!$D$5+H88/100*Food_DB!$D$6+I88/100*Food_DB!$D$7+IFERROR(K88/100*VLOOKUP(J88,Food_DB!$A$2:$F$14,4,FALSE),0)+L88*Food_DB!$D$8</f>
        <v>100.49999999999999</v>
      </c>
      <c r="Y88">
        <f>D88*Food_DB!$E$2+E88/100*Food_DB!$E$3+F88/30*Food_DB!$E$4+G88*Food_DB!$E$5+H88/100*Food_DB!$E$6+I88/100*Food_DB!$E$7+IFERROR(K88/100*VLOOKUP(J88,Food_DB!$A$2:$F$14,5,FALSE),0)+L88*Food_DB!$E$8</f>
        <v>32.35</v>
      </c>
      <c r="Z88">
        <f>D88*Food_DB!$F$2+E88/100*Food_DB!$F$3+F88/30*Food_DB!$F$4+G88*Food_DB!$F$5+H88/100*Food_DB!$F$6+I88/100*Food_DB!$F$7+IFERROR(K88/100*VLOOKUP(J88,Food_DB!$A$2:$F$14,6,FALSE),0)+L88*Food_DB!$F$8</f>
        <v>178.15</v>
      </c>
      <c r="AA88">
        <v>0</v>
      </c>
      <c r="AB88">
        <v>0</v>
      </c>
      <c r="AC88">
        <v>0</v>
      </c>
      <c r="AD88">
        <v>3.5</v>
      </c>
      <c r="AE88">
        <f>Dashboard!$B$6*AA88+Dashboard!$B$6*4*AB88/60+Dashboard!$B$6*8*AC88/120+Dashboard!$B$6*7*AD88</f>
        <v>1960</v>
      </c>
      <c r="AF88">
        <f>Dashboard!$B$5</f>
        <v>1700</v>
      </c>
      <c r="AG88">
        <f t="shared" si="6"/>
        <v>4000</v>
      </c>
      <c r="AH88">
        <f t="shared" si="7"/>
        <v>-2612.5</v>
      </c>
    </row>
    <row r="89" spans="1:34">
      <c r="A89">
        <v>46265</v>
      </c>
      <c r="B89" t="s">
        <v>88</v>
      </c>
      <c r="C89" t="s">
        <v>89</v>
      </c>
      <c r="D89">
        <v>2</v>
      </c>
      <c r="E89">
        <v>400</v>
      </c>
      <c r="F89">
        <v>30</v>
      </c>
      <c r="G89">
        <v>1</v>
      </c>
      <c r="H89">
        <v>150</v>
      </c>
      <c r="I89">
        <v>250</v>
      </c>
      <c r="J89" t="s">
        <v>90</v>
      </c>
      <c r="K89">
        <v>250</v>
      </c>
      <c r="L89">
        <v>3</v>
      </c>
      <c r="M89">
        <v>0</v>
      </c>
      <c r="N89">
        <f>D89*Food_DB!$C$2</f>
        <v>150</v>
      </c>
      <c r="O89">
        <f>E89/100*Food_DB!$C$3</f>
        <v>260</v>
      </c>
      <c r="P89">
        <f>F89/30*Food_DB!$C$4</f>
        <v>111</v>
      </c>
      <c r="Q89">
        <f>G89*Food_DB!$C$5</f>
        <v>222</v>
      </c>
      <c r="R89">
        <f>H89/100*Food_DB!$C$6</f>
        <v>12</v>
      </c>
      <c r="S89">
        <f>I89/100*Food_DB!$C$7</f>
        <v>62.5</v>
      </c>
      <c r="T89">
        <f>IFERROR(K89/100*VLOOKUP(J89,Food_DB!$A$2:$F$14,3,FALSE),0)</f>
        <v>575</v>
      </c>
      <c r="U89">
        <f>L89*Food_DB!$C$8</f>
        <v>270</v>
      </c>
      <c r="V89">
        <f t="shared" si="4"/>
        <v>0</v>
      </c>
      <c r="W89">
        <f t="shared" si="5"/>
        <v>1662.5</v>
      </c>
      <c r="X89">
        <f>D89*Food_DB!$D$2+E89/100*Food_DB!$D$3+F89/30*Food_DB!$D$4+G89*Food_DB!$D$5+H89/100*Food_DB!$D$6+I89/100*Food_DB!$D$7+IFERROR(K89/100*VLOOKUP(J89,Food_DB!$A$2:$F$14,4,FALSE),0)+L89*Food_DB!$D$8</f>
        <v>87.999999999999986</v>
      </c>
      <c r="Y89">
        <f>D89*Food_DB!$E$2+E89/100*Food_DB!$E$3+F89/30*Food_DB!$E$4+G89*Food_DB!$E$5+H89/100*Food_DB!$E$6+I89/100*Food_DB!$E$7+IFERROR(K89/100*VLOOKUP(J89,Food_DB!$A$2:$F$14,5,FALSE),0)+L89*Food_DB!$E$8</f>
        <v>68.599999999999994</v>
      </c>
      <c r="Z89">
        <f>D89*Food_DB!$F$2+E89/100*Food_DB!$F$3+F89/30*Food_DB!$F$4+G89*Food_DB!$F$5+H89/100*Food_DB!$F$6+I89/100*Food_DB!$F$7+IFERROR(K89/100*VLOOKUP(J89,Food_DB!$A$2:$F$14,6,FALSE),0)+L89*Food_DB!$F$8</f>
        <v>178.15</v>
      </c>
      <c r="AA89">
        <v>6.5</v>
      </c>
      <c r="AB89">
        <v>30</v>
      </c>
      <c r="AC89">
        <v>0</v>
      </c>
      <c r="AD89">
        <v>0</v>
      </c>
      <c r="AE89">
        <f>Dashboard!$B$6*AA89+Dashboard!$B$6*4*AB89/60+Dashboard!$B$6*8*AC89/120+Dashboard!$B$6*7*AD89</f>
        <v>680</v>
      </c>
      <c r="AF89">
        <f>Dashboard!$B$5</f>
        <v>1700</v>
      </c>
      <c r="AG89">
        <f t="shared" si="6"/>
        <v>2720</v>
      </c>
      <c r="AH89">
        <f t="shared" si="7"/>
        <v>-1057.5</v>
      </c>
    </row>
    <row r="90" spans="1:34">
      <c r="A90">
        <v>46266</v>
      </c>
      <c r="B90" t="s">
        <v>91</v>
      </c>
      <c r="C90" t="s">
        <v>89</v>
      </c>
      <c r="D90">
        <v>2</v>
      </c>
      <c r="E90">
        <v>400</v>
      </c>
      <c r="F90">
        <v>30</v>
      </c>
      <c r="G90">
        <v>1</v>
      </c>
      <c r="H90">
        <v>150</v>
      </c>
      <c r="I90">
        <v>250</v>
      </c>
      <c r="J90" t="s">
        <v>82</v>
      </c>
      <c r="K90">
        <v>250</v>
      </c>
      <c r="L90">
        <v>3</v>
      </c>
      <c r="M90">
        <v>0</v>
      </c>
      <c r="N90">
        <f>D90*Food_DB!$C$2</f>
        <v>150</v>
      </c>
      <c r="O90">
        <f>E90/100*Food_DB!$C$3</f>
        <v>260</v>
      </c>
      <c r="P90">
        <f>F90/30*Food_DB!$C$4</f>
        <v>111</v>
      </c>
      <c r="Q90">
        <f>G90*Food_DB!$C$5</f>
        <v>222</v>
      </c>
      <c r="R90">
        <f>H90/100*Food_DB!$C$6</f>
        <v>12</v>
      </c>
      <c r="S90">
        <f>I90/100*Food_DB!$C$7</f>
        <v>62.5</v>
      </c>
      <c r="T90">
        <f>IFERROR(K90/100*VLOOKUP(J90,Food_DB!$A$2:$F$14,3,FALSE),0)</f>
        <v>550</v>
      </c>
      <c r="U90">
        <f>L90*Food_DB!$C$8</f>
        <v>270</v>
      </c>
      <c r="V90">
        <f t="shared" si="4"/>
        <v>0</v>
      </c>
      <c r="W90">
        <f t="shared" si="5"/>
        <v>1637.5</v>
      </c>
      <c r="X90">
        <f>D90*Food_DB!$D$2+E90/100*Food_DB!$D$3+F90/30*Food_DB!$D$4+G90*Food_DB!$D$5+H90/100*Food_DB!$D$6+I90/100*Food_DB!$D$7+IFERROR(K90/100*VLOOKUP(J90,Food_DB!$A$2:$F$14,4,FALSE),0)+L90*Food_DB!$D$8</f>
        <v>92.999999999999986</v>
      </c>
      <c r="Y90">
        <f>D90*Food_DB!$E$2+E90/100*Food_DB!$E$3+F90/30*Food_DB!$E$4+G90*Food_DB!$E$5+H90/100*Food_DB!$E$6+I90/100*Food_DB!$E$7+IFERROR(K90/100*VLOOKUP(J90,Food_DB!$A$2:$F$14,5,FALSE),0)+L90*Food_DB!$E$8</f>
        <v>63.6</v>
      </c>
      <c r="Z90">
        <f>D90*Food_DB!$F$2+E90/100*Food_DB!$F$3+F90/30*Food_DB!$F$4+G90*Food_DB!$F$5+H90/100*Food_DB!$F$6+I90/100*Food_DB!$F$7+IFERROR(K90/100*VLOOKUP(J90,Food_DB!$A$2:$F$14,6,FALSE),0)+L90*Food_DB!$F$8</f>
        <v>178.15</v>
      </c>
      <c r="AA90">
        <v>6.5</v>
      </c>
      <c r="AB90">
        <v>30</v>
      </c>
      <c r="AC90">
        <v>0</v>
      </c>
      <c r="AD90">
        <v>0</v>
      </c>
      <c r="AE90">
        <f>Dashboard!$B$6*AA90+Dashboard!$B$6*4*AB90/60+Dashboard!$B$6*8*AC90/120+Dashboard!$B$6*7*AD90</f>
        <v>680</v>
      </c>
      <c r="AF90">
        <f>Dashboard!$B$5</f>
        <v>1700</v>
      </c>
      <c r="AG90">
        <f t="shared" si="6"/>
        <v>2720</v>
      </c>
      <c r="AH90">
        <f t="shared" si="7"/>
        <v>-1082.5</v>
      </c>
    </row>
    <row r="91" spans="1:34">
      <c r="A91">
        <v>46267</v>
      </c>
      <c r="B91" t="s">
        <v>92</v>
      </c>
      <c r="C91" t="s">
        <v>89</v>
      </c>
      <c r="D91">
        <v>2</v>
      </c>
      <c r="E91">
        <v>400</v>
      </c>
      <c r="F91">
        <v>30</v>
      </c>
      <c r="G91">
        <v>1</v>
      </c>
      <c r="H91">
        <v>150</v>
      </c>
      <c r="I91">
        <v>250</v>
      </c>
      <c r="J91" t="s">
        <v>85</v>
      </c>
      <c r="K91">
        <v>250</v>
      </c>
      <c r="L91">
        <v>3</v>
      </c>
      <c r="M91">
        <v>0</v>
      </c>
      <c r="N91">
        <f>D91*Food_DB!$C$2</f>
        <v>150</v>
      </c>
      <c r="O91">
        <f>E91/100*Food_DB!$C$3</f>
        <v>260</v>
      </c>
      <c r="P91">
        <f>F91/30*Food_DB!$C$4</f>
        <v>111</v>
      </c>
      <c r="Q91">
        <f>G91*Food_DB!$C$5</f>
        <v>222</v>
      </c>
      <c r="R91">
        <f>H91/100*Food_DB!$C$6</f>
        <v>12</v>
      </c>
      <c r="S91">
        <f>I91/100*Food_DB!$C$7</f>
        <v>62.5</v>
      </c>
      <c r="T91">
        <f>IFERROR(K91/100*VLOOKUP(J91,Food_DB!$A$2:$F$14,3,FALSE),0)</f>
        <v>450</v>
      </c>
      <c r="U91">
        <f>L91*Food_DB!$C$8</f>
        <v>270</v>
      </c>
      <c r="V91">
        <f t="shared" si="4"/>
        <v>0</v>
      </c>
      <c r="W91">
        <f t="shared" si="5"/>
        <v>1537.5</v>
      </c>
      <c r="X91">
        <f>D91*Food_DB!$D$2+E91/100*Food_DB!$D$3+F91/30*Food_DB!$D$4+G91*Food_DB!$D$5+H91/100*Food_DB!$D$6+I91/100*Food_DB!$D$7+IFERROR(K91/100*VLOOKUP(J91,Food_DB!$A$2:$F$14,4,FALSE),0)+L91*Food_DB!$D$8</f>
        <v>92.999999999999986</v>
      </c>
      <c r="Y91">
        <f>D91*Food_DB!$E$2+E91/100*Food_DB!$E$3+F91/30*Food_DB!$E$4+G91*Food_DB!$E$5+H91/100*Food_DB!$E$6+I91/100*Food_DB!$E$7+IFERROR(K91/100*VLOOKUP(J91,Food_DB!$A$2:$F$14,5,FALSE),0)+L91*Food_DB!$E$8</f>
        <v>51.1</v>
      </c>
      <c r="Z91">
        <f>D91*Food_DB!$F$2+E91/100*Food_DB!$F$3+F91/30*Food_DB!$F$4+G91*Food_DB!$F$5+H91/100*Food_DB!$F$6+I91/100*Food_DB!$F$7+IFERROR(K91/100*VLOOKUP(J91,Food_DB!$A$2:$F$14,6,FALSE),0)+L91*Food_DB!$F$8</f>
        <v>178.15</v>
      </c>
      <c r="AA91">
        <v>6.5</v>
      </c>
      <c r="AB91">
        <v>30</v>
      </c>
      <c r="AC91">
        <v>0</v>
      </c>
      <c r="AD91">
        <v>0</v>
      </c>
      <c r="AE91">
        <f>Dashboard!$B$6*AA91+Dashboard!$B$6*4*AB91/60+Dashboard!$B$6*8*AC91/120+Dashboard!$B$6*7*AD91</f>
        <v>680</v>
      </c>
      <c r="AF91">
        <f>Dashboard!$B$5</f>
        <v>1700</v>
      </c>
      <c r="AG91">
        <f t="shared" si="6"/>
        <v>2720</v>
      </c>
      <c r="AH91">
        <f t="shared" si="7"/>
        <v>-1182.5</v>
      </c>
    </row>
    <row r="92" spans="1:34">
      <c r="A92">
        <v>46268</v>
      </c>
      <c r="B92" t="s">
        <v>93</v>
      </c>
      <c r="C92" t="s">
        <v>89</v>
      </c>
      <c r="D92">
        <v>2</v>
      </c>
      <c r="E92">
        <v>400</v>
      </c>
      <c r="F92">
        <v>30</v>
      </c>
      <c r="G92">
        <v>1</v>
      </c>
      <c r="H92">
        <v>150</v>
      </c>
      <c r="I92">
        <v>250</v>
      </c>
      <c r="J92" t="s">
        <v>87</v>
      </c>
      <c r="K92">
        <v>250</v>
      </c>
      <c r="L92">
        <v>3</v>
      </c>
      <c r="M92">
        <v>0</v>
      </c>
      <c r="N92">
        <f>D92*Food_DB!$C$2</f>
        <v>150</v>
      </c>
      <c r="O92">
        <f>E92/100*Food_DB!$C$3</f>
        <v>260</v>
      </c>
      <c r="P92">
        <f>F92/30*Food_DB!$C$4</f>
        <v>111</v>
      </c>
      <c r="Q92">
        <f>G92*Food_DB!$C$5</f>
        <v>222</v>
      </c>
      <c r="R92">
        <f>H92/100*Food_DB!$C$6</f>
        <v>12</v>
      </c>
      <c r="S92">
        <f>I92/100*Food_DB!$C$7</f>
        <v>62.5</v>
      </c>
      <c r="T92">
        <f>IFERROR(K92/100*VLOOKUP(J92,Food_DB!$A$2:$F$14,3,FALSE),0)</f>
        <v>300</v>
      </c>
      <c r="U92">
        <f>L92*Food_DB!$C$8</f>
        <v>270</v>
      </c>
      <c r="V92">
        <f t="shared" si="4"/>
        <v>0</v>
      </c>
      <c r="W92">
        <f t="shared" si="5"/>
        <v>1387.5</v>
      </c>
      <c r="X92">
        <f>D92*Food_DB!$D$2+E92/100*Food_DB!$D$3+F92/30*Food_DB!$D$4+G92*Food_DB!$D$5+H92/100*Food_DB!$D$6+I92/100*Food_DB!$D$7+IFERROR(K92/100*VLOOKUP(J92,Food_DB!$A$2:$F$14,4,FALSE),0)+L92*Food_DB!$D$8</f>
        <v>100.49999999999999</v>
      </c>
      <c r="Y92">
        <f>D92*Food_DB!$E$2+E92/100*Food_DB!$E$3+F92/30*Food_DB!$E$4+G92*Food_DB!$E$5+H92/100*Food_DB!$E$6+I92/100*Food_DB!$E$7+IFERROR(K92/100*VLOOKUP(J92,Food_DB!$A$2:$F$14,5,FALSE),0)+L92*Food_DB!$E$8</f>
        <v>32.35</v>
      </c>
      <c r="Z92">
        <f>D92*Food_DB!$F$2+E92/100*Food_DB!$F$3+F92/30*Food_DB!$F$4+G92*Food_DB!$F$5+H92/100*Food_DB!$F$6+I92/100*Food_DB!$F$7+IFERROR(K92/100*VLOOKUP(J92,Food_DB!$A$2:$F$14,6,FALSE),0)+L92*Food_DB!$F$8</f>
        <v>178.15</v>
      </c>
      <c r="AA92">
        <v>6.5</v>
      </c>
      <c r="AB92">
        <v>30</v>
      </c>
      <c r="AC92">
        <v>0</v>
      </c>
      <c r="AD92">
        <v>0</v>
      </c>
      <c r="AE92">
        <f>Dashboard!$B$6*AA92+Dashboard!$B$6*4*AB92/60+Dashboard!$B$6*8*AC92/120+Dashboard!$B$6*7*AD92</f>
        <v>680</v>
      </c>
      <c r="AF92">
        <f>Dashboard!$B$5</f>
        <v>1700</v>
      </c>
      <c r="AG92">
        <f t="shared" si="6"/>
        <v>2720</v>
      </c>
      <c r="AH92">
        <f t="shared" si="7"/>
        <v>-1332.5</v>
      </c>
    </row>
    <row r="93" spans="1:34">
      <c r="A93">
        <v>46269</v>
      </c>
      <c r="B93" t="s">
        <v>80</v>
      </c>
      <c r="C93" t="s">
        <v>81</v>
      </c>
      <c r="D93">
        <v>2</v>
      </c>
      <c r="E93">
        <v>400</v>
      </c>
      <c r="F93">
        <v>30</v>
      </c>
      <c r="G93">
        <v>1</v>
      </c>
      <c r="H93">
        <v>150</v>
      </c>
      <c r="I93">
        <v>250</v>
      </c>
      <c r="J93" t="s">
        <v>90</v>
      </c>
      <c r="K93">
        <v>250</v>
      </c>
      <c r="L93">
        <v>3</v>
      </c>
      <c r="M93">
        <v>1000</v>
      </c>
      <c r="N93">
        <f>D93*Food_DB!$C$2</f>
        <v>150</v>
      </c>
      <c r="O93">
        <f>E93/100*Food_DB!$C$3</f>
        <v>260</v>
      </c>
      <c r="P93">
        <f>F93/30*Food_DB!$C$4</f>
        <v>111</v>
      </c>
      <c r="Q93">
        <f>G93*Food_DB!$C$5</f>
        <v>222</v>
      </c>
      <c r="R93">
        <f>H93/100*Food_DB!$C$6</f>
        <v>12</v>
      </c>
      <c r="S93">
        <f>I93/100*Food_DB!$C$7</f>
        <v>62.5</v>
      </c>
      <c r="T93">
        <f>IFERROR(K93/100*VLOOKUP(J93,Food_DB!$A$2:$F$14,3,FALSE),0)</f>
        <v>575</v>
      </c>
      <c r="U93">
        <f>L93*Food_DB!$C$8</f>
        <v>270</v>
      </c>
      <c r="V93">
        <f t="shared" si="4"/>
        <v>1000</v>
      </c>
      <c r="W93">
        <f t="shared" si="5"/>
        <v>2662.5</v>
      </c>
      <c r="X93">
        <f>D93*Food_DB!$D$2+E93/100*Food_DB!$D$3+F93/30*Food_DB!$D$4+G93*Food_DB!$D$5+H93/100*Food_DB!$D$6+I93/100*Food_DB!$D$7+IFERROR(K93/100*VLOOKUP(J93,Food_DB!$A$2:$F$14,4,FALSE),0)+L93*Food_DB!$D$8</f>
        <v>87.999999999999986</v>
      </c>
      <c r="Y93">
        <f>D93*Food_DB!$E$2+E93/100*Food_DB!$E$3+F93/30*Food_DB!$E$4+G93*Food_DB!$E$5+H93/100*Food_DB!$E$6+I93/100*Food_DB!$E$7+IFERROR(K93/100*VLOOKUP(J93,Food_DB!$A$2:$F$14,5,FALSE),0)+L93*Food_DB!$E$8</f>
        <v>68.599999999999994</v>
      </c>
      <c r="Z93">
        <f>D93*Food_DB!$F$2+E93/100*Food_DB!$F$3+F93/30*Food_DB!$F$4+G93*Food_DB!$F$5+H93/100*Food_DB!$F$6+I93/100*Food_DB!$F$7+IFERROR(K93/100*VLOOKUP(J93,Food_DB!$A$2:$F$14,6,FALSE),0)+L93*Food_DB!$F$8</f>
        <v>178.15</v>
      </c>
      <c r="AA93">
        <v>6.5</v>
      </c>
      <c r="AB93">
        <v>30</v>
      </c>
      <c r="AC93">
        <v>0</v>
      </c>
      <c r="AD93">
        <v>0</v>
      </c>
      <c r="AE93">
        <f>Dashboard!$B$6*AA93+Dashboard!$B$6*4*AB93/60+Dashboard!$B$6*8*AC93/120+Dashboard!$B$6*7*AD93</f>
        <v>680</v>
      </c>
      <c r="AF93">
        <f>Dashboard!$B$5</f>
        <v>1700</v>
      </c>
      <c r="AG93">
        <f t="shared" si="6"/>
        <v>2720</v>
      </c>
      <c r="AH93">
        <f t="shared" si="7"/>
        <v>-57.5</v>
      </c>
    </row>
    <row r="94" spans="1:34">
      <c r="A94">
        <v>46270</v>
      </c>
      <c r="B94" t="s">
        <v>83</v>
      </c>
      <c r="C94" t="s">
        <v>84</v>
      </c>
      <c r="D94">
        <v>2</v>
      </c>
      <c r="E94">
        <v>400</v>
      </c>
      <c r="F94">
        <v>30</v>
      </c>
      <c r="G94">
        <v>1</v>
      </c>
      <c r="H94">
        <v>150</v>
      </c>
      <c r="I94">
        <v>250</v>
      </c>
      <c r="J94" t="s">
        <v>82</v>
      </c>
      <c r="K94">
        <v>250</v>
      </c>
      <c r="L94">
        <v>3</v>
      </c>
      <c r="M94">
        <v>0</v>
      </c>
      <c r="N94">
        <f>D94*Food_DB!$C$2</f>
        <v>150</v>
      </c>
      <c r="O94">
        <f>E94/100*Food_DB!$C$3</f>
        <v>260</v>
      </c>
      <c r="P94">
        <f>F94/30*Food_DB!$C$4</f>
        <v>111</v>
      </c>
      <c r="Q94">
        <f>G94*Food_DB!$C$5</f>
        <v>222</v>
      </c>
      <c r="R94">
        <f>H94/100*Food_DB!$C$6</f>
        <v>12</v>
      </c>
      <c r="S94">
        <f>I94/100*Food_DB!$C$7</f>
        <v>62.5</v>
      </c>
      <c r="T94">
        <f>IFERROR(K94/100*VLOOKUP(J94,Food_DB!$A$2:$F$14,3,FALSE),0)</f>
        <v>550</v>
      </c>
      <c r="U94">
        <f>L94*Food_DB!$C$8</f>
        <v>270</v>
      </c>
      <c r="V94">
        <f t="shared" si="4"/>
        <v>0</v>
      </c>
      <c r="W94">
        <f t="shared" si="5"/>
        <v>1637.5</v>
      </c>
      <c r="X94">
        <f>D94*Food_DB!$D$2+E94/100*Food_DB!$D$3+F94/30*Food_DB!$D$4+G94*Food_DB!$D$5+H94/100*Food_DB!$D$6+I94/100*Food_DB!$D$7+IFERROR(K94/100*VLOOKUP(J94,Food_DB!$A$2:$F$14,4,FALSE),0)+L94*Food_DB!$D$8</f>
        <v>92.999999999999986</v>
      </c>
      <c r="Y94">
        <f>D94*Food_DB!$E$2+E94/100*Food_DB!$E$3+F94/30*Food_DB!$E$4+G94*Food_DB!$E$5+H94/100*Food_DB!$E$6+I94/100*Food_DB!$E$7+IFERROR(K94/100*VLOOKUP(J94,Food_DB!$A$2:$F$14,5,FALSE),0)+L94*Food_DB!$E$8</f>
        <v>63.6</v>
      </c>
      <c r="Z94">
        <f>D94*Food_DB!$F$2+E94/100*Food_DB!$F$3+F94/30*Food_DB!$F$4+G94*Food_DB!$F$5+H94/100*Food_DB!$F$6+I94/100*Food_DB!$F$7+IFERROR(K94/100*VLOOKUP(J94,Food_DB!$A$2:$F$14,6,FALSE),0)+L94*Food_DB!$F$8</f>
        <v>178.15</v>
      </c>
      <c r="AA94">
        <v>0</v>
      </c>
      <c r="AB94">
        <v>0</v>
      </c>
      <c r="AC94">
        <v>0</v>
      </c>
      <c r="AD94">
        <v>3.5</v>
      </c>
      <c r="AE94">
        <f>Dashboard!$B$6*AA94+Dashboard!$B$6*4*AB94/60+Dashboard!$B$6*8*AC94/120+Dashboard!$B$6*7*AD94</f>
        <v>1960</v>
      </c>
      <c r="AF94">
        <f>Dashboard!$B$5</f>
        <v>1700</v>
      </c>
      <c r="AG94">
        <f t="shared" si="6"/>
        <v>4000</v>
      </c>
      <c r="AH94">
        <f t="shared" si="7"/>
        <v>-2362.5</v>
      </c>
    </row>
    <row r="95" spans="1:34">
      <c r="A95">
        <v>46271</v>
      </c>
      <c r="B95" t="s">
        <v>86</v>
      </c>
      <c r="C95" t="s">
        <v>84</v>
      </c>
      <c r="D95">
        <v>2</v>
      </c>
      <c r="E95">
        <v>400</v>
      </c>
      <c r="F95">
        <v>30</v>
      </c>
      <c r="G95">
        <v>1</v>
      </c>
      <c r="H95">
        <v>150</v>
      </c>
      <c r="I95">
        <v>250</v>
      </c>
      <c r="J95" t="s">
        <v>85</v>
      </c>
      <c r="K95">
        <v>250</v>
      </c>
      <c r="L95">
        <v>3</v>
      </c>
      <c r="M95">
        <v>0</v>
      </c>
      <c r="N95">
        <f>D95*Food_DB!$C$2</f>
        <v>150</v>
      </c>
      <c r="O95">
        <f>E95/100*Food_DB!$C$3</f>
        <v>260</v>
      </c>
      <c r="P95">
        <f>F95/30*Food_DB!$C$4</f>
        <v>111</v>
      </c>
      <c r="Q95">
        <f>G95*Food_DB!$C$5</f>
        <v>222</v>
      </c>
      <c r="R95">
        <f>H95/100*Food_DB!$C$6</f>
        <v>12</v>
      </c>
      <c r="S95">
        <f>I95/100*Food_DB!$C$7</f>
        <v>62.5</v>
      </c>
      <c r="T95">
        <f>IFERROR(K95/100*VLOOKUP(J95,Food_DB!$A$2:$F$14,3,FALSE),0)</f>
        <v>450</v>
      </c>
      <c r="U95">
        <f>L95*Food_DB!$C$8</f>
        <v>270</v>
      </c>
      <c r="V95">
        <f t="shared" si="4"/>
        <v>0</v>
      </c>
      <c r="W95">
        <f t="shared" si="5"/>
        <v>1537.5</v>
      </c>
      <c r="X95">
        <f>D95*Food_DB!$D$2+E95/100*Food_DB!$D$3+F95/30*Food_DB!$D$4+G95*Food_DB!$D$5+H95/100*Food_DB!$D$6+I95/100*Food_DB!$D$7+IFERROR(K95/100*VLOOKUP(J95,Food_DB!$A$2:$F$14,4,FALSE),0)+L95*Food_DB!$D$8</f>
        <v>92.999999999999986</v>
      </c>
      <c r="Y95">
        <f>D95*Food_DB!$E$2+E95/100*Food_DB!$E$3+F95/30*Food_DB!$E$4+G95*Food_DB!$E$5+H95/100*Food_DB!$E$6+I95/100*Food_DB!$E$7+IFERROR(K95/100*VLOOKUP(J95,Food_DB!$A$2:$F$14,5,FALSE),0)+L95*Food_DB!$E$8</f>
        <v>51.1</v>
      </c>
      <c r="Z95">
        <f>D95*Food_DB!$F$2+E95/100*Food_DB!$F$3+F95/30*Food_DB!$F$4+G95*Food_DB!$F$5+H95/100*Food_DB!$F$6+I95/100*Food_DB!$F$7+IFERROR(K95/100*VLOOKUP(J95,Food_DB!$A$2:$F$14,6,FALSE),0)+L95*Food_DB!$F$8</f>
        <v>178.15</v>
      </c>
      <c r="AA95">
        <v>0</v>
      </c>
      <c r="AB95">
        <v>0</v>
      </c>
      <c r="AC95">
        <v>0</v>
      </c>
      <c r="AD95">
        <v>3.5</v>
      </c>
      <c r="AE95">
        <f>Dashboard!$B$6*AA95+Dashboard!$B$6*4*AB95/60+Dashboard!$B$6*8*AC95/120+Dashboard!$B$6*7*AD95</f>
        <v>1960</v>
      </c>
      <c r="AF95">
        <f>Dashboard!$B$5</f>
        <v>1700</v>
      </c>
      <c r="AG95">
        <f t="shared" si="6"/>
        <v>4000</v>
      </c>
      <c r="AH95">
        <f t="shared" si="7"/>
        <v>-2462.5</v>
      </c>
    </row>
    <row r="96" spans="1:34">
      <c r="A96">
        <v>46272</v>
      </c>
      <c r="B96" t="s">
        <v>88</v>
      </c>
      <c r="C96" t="s">
        <v>89</v>
      </c>
      <c r="D96">
        <v>2</v>
      </c>
      <c r="E96">
        <v>400</v>
      </c>
      <c r="F96">
        <v>30</v>
      </c>
      <c r="G96">
        <v>1</v>
      </c>
      <c r="H96">
        <v>150</v>
      </c>
      <c r="I96">
        <v>250</v>
      </c>
      <c r="J96" t="s">
        <v>87</v>
      </c>
      <c r="K96">
        <v>250</v>
      </c>
      <c r="L96">
        <v>3</v>
      </c>
      <c r="M96">
        <v>0</v>
      </c>
      <c r="N96">
        <f>D96*Food_DB!$C$2</f>
        <v>150</v>
      </c>
      <c r="O96">
        <f>E96/100*Food_DB!$C$3</f>
        <v>260</v>
      </c>
      <c r="P96">
        <f>F96/30*Food_DB!$C$4</f>
        <v>111</v>
      </c>
      <c r="Q96">
        <f>G96*Food_DB!$C$5</f>
        <v>222</v>
      </c>
      <c r="R96">
        <f>H96/100*Food_DB!$C$6</f>
        <v>12</v>
      </c>
      <c r="S96">
        <f>I96/100*Food_DB!$C$7</f>
        <v>62.5</v>
      </c>
      <c r="T96">
        <f>IFERROR(K96/100*VLOOKUP(J96,Food_DB!$A$2:$F$14,3,FALSE),0)</f>
        <v>300</v>
      </c>
      <c r="U96">
        <f>L96*Food_DB!$C$8</f>
        <v>270</v>
      </c>
      <c r="V96">
        <f t="shared" si="4"/>
        <v>0</v>
      </c>
      <c r="W96">
        <f t="shared" si="5"/>
        <v>1387.5</v>
      </c>
      <c r="X96">
        <f>D96*Food_DB!$D$2+E96/100*Food_DB!$D$3+F96/30*Food_DB!$D$4+G96*Food_DB!$D$5+H96/100*Food_DB!$D$6+I96/100*Food_DB!$D$7+IFERROR(K96/100*VLOOKUP(J96,Food_DB!$A$2:$F$14,4,FALSE),0)+L96*Food_DB!$D$8</f>
        <v>100.49999999999999</v>
      </c>
      <c r="Y96">
        <f>D96*Food_DB!$E$2+E96/100*Food_DB!$E$3+F96/30*Food_DB!$E$4+G96*Food_DB!$E$5+H96/100*Food_DB!$E$6+I96/100*Food_DB!$E$7+IFERROR(K96/100*VLOOKUP(J96,Food_DB!$A$2:$F$14,5,FALSE),0)+L96*Food_DB!$E$8</f>
        <v>32.35</v>
      </c>
      <c r="Z96">
        <f>D96*Food_DB!$F$2+E96/100*Food_DB!$F$3+F96/30*Food_DB!$F$4+G96*Food_DB!$F$5+H96/100*Food_DB!$F$6+I96/100*Food_DB!$F$7+IFERROR(K96/100*VLOOKUP(J96,Food_DB!$A$2:$F$14,6,FALSE),0)+L96*Food_DB!$F$8</f>
        <v>178.15</v>
      </c>
      <c r="AA96">
        <v>6.5</v>
      </c>
      <c r="AB96">
        <v>30</v>
      </c>
      <c r="AC96">
        <v>0</v>
      </c>
      <c r="AD96">
        <v>0</v>
      </c>
      <c r="AE96">
        <f>Dashboard!$B$6*AA96+Dashboard!$B$6*4*AB96/60+Dashboard!$B$6*8*AC96/120+Dashboard!$B$6*7*AD96</f>
        <v>680</v>
      </c>
      <c r="AF96">
        <f>Dashboard!$B$5</f>
        <v>1700</v>
      </c>
      <c r="AG96">
        <f t="shared" si="6"/>
        <v>2720</v>
      </c>
      <c r="AH96">
        <f t="shared" si="7"/>
        <v>-1332.5</v>
      </c>
    </row>
    <row r="97" spans="1:34">
      <c r="A97">
        <v>46273</v>
      </c>
      <c r="B97" t="s">
        <v>91</v>
      </c>
      <c r="C97" t="s">
        <v>89</v>
      </c>
      <c r="D97">
        <v>2</v>
      </c>
      <c r="E97">
        <v>400</v>
      </c>
      <c r="F97">
        <v>30</v>
      </c>
      <c r="G97">
        <v>1</v>
      </c>
      <c r="H97">
        <v>150</v>
      </c>
      <c r="I97">
        <v>250</v>
      </c>
      <c r="J97" t="s">
        <v>90</v>
      </c>
      <c r="K97">
        <v>250</v>
      </c>
      <c r="L97">
        <v>3</v>
      </c>
      <c r="M97">
        <v>0</v>
      </c>
      <c r="N97">
        <f>D97*Food_DB!$C$2</f>
        <v>150</v>
      </c>
      <c r="O97">
        <f>E97/100*Food_DB!$C$3</f>
        <v>260</v>
      </c>
      <c r="P97">
        <f>F97/30*Food_DB!$C$4</f>
        <v>111</v>
      </c>
      <c r="Q97">
        <f>G97*Food_DB!$C$5</f>
        <v>222</v>
      </c>
      <c r="R97">
        <f>H97/100*Food_DB!$C$6</f>
        <v>12</v>
      </c>
      <c r="S97">
        <f>I97/100*Food_DB!$C$7</f>
        <v>62.5</v>
      </c>
      <c r="T97">
        <f>IFERROR(K97/100*VLOOKUP(J97,Food_DB!$A$2:$F$14,3,FALSE),0)</f>
        <v>575</v>
      </c>
      <c r="U97">
        <f>L97*Food_DB!$C$8</f>
        <v>270</v>
      </c>
      <c r="V97">
        <f t="shared" si="4"/>
        <v>0</v>
      </c>
      <c r="W97">
        <f t="shared" si="5"/>
        <v>1662.5</v>
      </c>
      <c r="X97">
        <f>D97*Food_DB!$D$2+E97/100*Food_DB!$D$3+F97/30*Food_DB!$D$4+G97*Food_DB!$D$5+H97/100*Food_DB!$D$6+I97/100*Food_DB!$D$7+IFERROR(K97/100*VLOOKUP(J97,Food_DB!$A$2:$F$14,4,FALSE),0)+L97*Food_DB!$D$8</f>
        <v>87.999999999999986</v>
      </c>
      <c r="Y97">
        <f>D97*Food_DB!$E$2+E97/100*Food_DB!$E$3+F97/30*Food_DB!$E$4+G97*Food_DB!$E$5+H97/100*Food_DB!$E$6+I97/100*Food_DB!$E$7+IFERROR(K97/100*VLOOKUP(J97,Food_DB!$A$2:$F$14,5,FALSE),0)+L97*Food_DB!$E$8</f>
        <v>68.599999999999994</v>
      </c>
      <c r="Z97">
        <f>D97*Food_DB!$F$2+E97/100*Food_DB!$F$3+F97/30*Food_DB!$F$4+G97*Food_DB!$F$5+H97/100*Food_DB!$F$6+I97/100*Food_DB!$F$7+IFERROR(K97/100*VLOOKUP(J97,Food_DB!$A$2:$F$14,6,FALSE),0)+L97*Food_DB!$F$8</f>
        <v>178.15</v>
      </c>
      <c r="AA97">
        <v>6.5</v>
      </c>
      <c r="AB97">
        <v>30</v>
      </c>
      <c r="AC97">
        <v>0</v>
      </c>
      <c r="AD97">
        <v>0</v>
      </c>
      <c r="AE97">
        <f>Dashboard!$B$6*AA97+Dashboard!$B$6*4*AB97/60+Dashboard!$B$6*8*AC97/120+Dashboard!$B$6*7*AD97</f>
        <v>680</v>
      </c>
      <c r="AF97">
        <f>Dashboard!$B$5</f>
        <v>1700</v>
      </c>
      <c r="AG97">
        <f t="shared" si="6"/>
        <v>2720</v>
      </c>
      <c r="AH97">
        <f t="shared" si="7"/>
        <v>-1057.5</v>
      </c>
    </row>
    <row r="98" spans="1:34">
      <c r="A98">
        <v>46274</v>
      </c>
      <c r="B98" t="s">
        <v>92</v>
      </c>
      <c r="C98" t="s">
        <v>89</v>
      </c>
      <c r="D98">
        <v>2</v>
      </c>
      <c r="E98">
        <v>400</v>
      </c>
      <c r="F98">
        <v>30</v>
      </c>
      <c r="G98">
        <v>1</v>
      </c>
      <c r="H98">
        <v>150</v>
      </c>
      <c r="I98">
        <v>250</v>
      </c>
      <c r="J98" t="s">
        <v>82</v>
      </c>
      <c r="K98">
        <v>250</v>
      </c>
      <c r="L98">
        <v>3</v>
      </c>
      <c r="M98">
        <v>0</v>
      </c>
      <c r="N98">
        <f>D98*Food_DB!$C$2</f>
        <v>150</v>
      </c>
      <c r="O98">
        <f>E98/100*Food_DB!$C$3</f>
        <v>260</v>
      </c>
      <c r="P98">
        <f>F98/30*Food_DB!$C$4</f>
        <v>111</v>
      </c>
      <c r="Q98">
        <f>G98*Food_DB!$C$5</f>
        <v>222</v>
      </c>
      <c r="R98">
        <f>H98/100*Food_DB!$C$6</f>
        <v>12</v>
      </c>
      <c r="S98">
        <f>I98/100*Food_DB!$C$7</f>
        <v>62.5</v>
      </c>
      <c r="T98">
        <f>IFERROR(K98/100*VLOOKUP(J98,Food_DB!$A$2:$F$14,3,FALSE),0)</f>
        <v>550</v>
      </c>
      <c r="U98">
        <f>L98*Food_DB!$C$8</f>
        <v>270</v>
      </c>
      <c r="V98">
        <f t="shared" si="4"/>
        <v>0</v>
      </c>
      <c r="W98">
        <f t="shared" si="5"/>
        <v>1637.5</v>
      </c>
      <c r="X98">
        <f>D98*Food_DB!$D$2+E98/100*Food_DB!$D$3+F98/30*Food_DB!$D$4+G98*Food_DB!$D$5+H98/100*Food_DB!$D$6+I98/100*Food_DB!$D$7+IFERROR(K98/100*VLOOKUP(J98,Food_DB!$A$2:$F$14,4,FALSE),0)+L98*Food_DB!$D$8</f>
        <v>92.999999999999986</v>
      </c>
      <c r="Y98">
        <f>D98*Food_DB!$E$2+E98/100*Food_DB!$E$3+F98/30*Food_DB!$E$4+G98*Food_DB!$E$5+H98/100*Food_DB!$E$6+I98/100*Food_DB!$E$7+IFERROR(K98/100*VLOOKUP(J98,Food_DB!$A$2:$F$14,5,FALSE),0)+L98*Food_DB!$E$8</f>
        <v>63.6</v>
      </c>
      <c r="Z98">
        <f>D98*Food_DB!$F$2+E98/100*Food_DB!$F$3+F98/30*Food_DB!$F$4+G98*Food_DB!$F$5+H98/100*Food_DB!$F$6+I98/100*Food_DB!$F$7+IFERROR(K98/100*VLOOKUP(J98,Food_DB!$A$2:$F$14,6,FALSE),0)+L98*Food_DB!$F$8</f>
        <v>178.15</v>
      </c>
      <c r="AA98">
        <v>6.5</v>
      </c>
      <c r="AB98">
        <v>30</v>
      </c>
      <c r="AC98">
        <v>0</v>
      </c>
      <c r="AD98">
        <v>0</v>
      </c>
      <c r="AE98">
        <f>Dashboard!$B$6*AA98+Dashboard!$B$6*4*AB98/60+Dashboard!$B$6*8*AC98/120+Dashboard!$B$6*7*AD98</f>
        <v>680</v>
      </c>
      <c r="AF98">
        <f>Dashboard!$B$5</f>
        <v>1700</v>
      </c>
      <c r="AG98">
        <f t="shared" si="6"/>
        <v>2720</v>
      </c>
      <c r="AH98">
        <f t="shared" si="7"/>
        <v>-1082.5</v>
      </c>
    </row>
    <row r="99" spans="1:34">
      <c r="A99">
        <v>46275</v>
      </c>
      <c r="B99" t="s">
        <v>93</v>
      </c>
      <c r="C99" t="s">
        <v>89</v>
      </c>
      <c r="D99">
        <v>2</v>
      </c>
      <c r="E99">
        <v>400</v>
      </c>
      <c r="F99">
        <v>30</v>
      </c>
      <c r="G99">
        <v>1</v>
      </c>
      <c r="H99">
        <v>150</v>
      </c>
      <c r="I99">
        <v>250</v>
      </c>
      <c r="J99" t="s">
        <v>85</v>
      </c>
      <c r="K99">
        <v>250</v>
      </c>
      <c r="L99">
        <v>3</v>
      </c>
      <c r="M99">
        <v>0</v>
      </c>
      <c r="N99">
        <f>D99*Food_DB!$C$2</f>
        <v>150</v>
      </c>
      <c r="O99">
        <f>E99/100*Food_DB!$C$3</f>
        <v>260</v>
      </c>
      <c r="P99">
        <f>F99/30*Food_DB!$C$4</f>
        <v>111</v>
      </c>
      <c r="Q99">
        <f>G99*Food_DB!$C$5</f>
        <v>222</v>
      </c>
      <c r="R99">
        <f>H99/100*Food_DB!$C$6</f>
        <v>12</v>
      </c>
      <c r="S99">
        <f>I99/100*Food_DB!$C$7</f>
        <v>62.5</v>
      </c>
      <c r="T99">
        <f>IFERROR(K99/100*VLOOKUP(J99,Food_DB!$A$2:$F$14,3,FALSE),0)</f>
        <v>450</v>
      </c>
      <c r="U99">
        <f>L99*Food_DB!$C$8</f>
        <v>270</v>
      </c>
      <c r="V99">
        <f t="shared" si="4"/>
        <v>0</v>
      </c>
      <c r="W99">
        <f t="shared" si="5"/>
        <v>1537.5</v>
      </c>
      <c r="X99">
        <f>D99*Food_DB!$D$2+E99/100*Food_DB!$D$3+F99/30*Food_DB!$D$4+G99*Food_DB!$D$5+H99/100*Food_DB!$D$6+I99/100*Food_DB!$D$7+IFERROR(K99/100*VLOOKUP(J99,Food_DB!$A$2:$F$14,4,FALSE),0)+L99*Food_DB!$D$8</f>
        <v>92.999999999999986</v>
      </c>
      <c r="Y99">
        <f>D99*Food_DB!$E$2+E99/100*Food_DB!$E$3+F99/30*Food_DB!$E$4+G99*Food_DB!$E$5+H99/100*Food_DB!$E$6+I99/100*Food_DB!$E$7+IFERROR(K99/100*VLOOKUP(J99,Food_DB!$A$2:$F$14,5,FALSE),0)+L99*Food_DB!$E$8</f>
        <v>51.1</v>
      </c>
      <c r="Z99">
        <f>D99*Food_DB!$F$2+E99/100*Food_DB!$F$3+F99/30*Food_DB!$F$4+G99*Food_DB!$F$5+H99/100*Food_DB!$F$6+I99/100*Food_DB!$F$7+IFERROR(K99/100*VLOOKUP(J99,Food_DB!$A$2:$F$14,6,FALSE),0)+L99*Food_DB!$F$8</f>
        <v>178.15</v>
      </c>
      <c r="AA99">
        <v>6.5</v>
      </c>
      <c r="AB99">
        <v>30</v>
      </c>
      <c r="AC99">
        <v>0</v>
      </c>
      <c r="AD99">
        <v>0</v>
      </c>
      <c r="AE99">
        <f>Dashboard!$B$6*AA99+Dashboard!$B$6*4*AB99/60+Dashboard!$B$6*8*AC99/120+Dashboard!$B$6*7*AD99</f>
        <v>680</v>
      </c>
      <c r="AF99">
        <f>Dashboard!$B$5</f>
        <v>1700</v>
      </c>
      <c r="AG99">
        <f t="shared" si="6"/>
        <v>2720</v>
      </c>
      <c r="AH99">
        <f t="shared" si="7"/>
        <v>-1182.5</v>
      </c>
    </row>
    <row r="100" spans="1:34">
      <c r="A100">
        <v>46276</v>
      </c>
      <c r="B100" t="s">
        <v>80</v>
      </c>
      <c r="C100" t="s">
        <v>81</v>
      </c>
      <c r="D100">
        <v>2</v>
      </c>
      <c r="E100">
        <v>400</v>
      </c>
      <c r="F100">
        <v>30</v>
      </c>
      <c r="G100">
        <v>1</v>
      </c>
      <c r="H100">
        <v>150</v>
      </c>
      <c r="I100">
        <v>250</v>
      </c>
      <c r="J100" t="s">
        <v>87</v>
      </c>
      <c r="K100">
        <v>250</v>
      </c>
      <c r="L100">
        <v>3</v>
      </c>
      <c r="M100">
        <v>1000</v>
      </c>
      <c r="N100">
        <f>D100*Food_DB!$C$2</f>
        <v>150</v>
      </c>
      <c r="O100">
        <f>E100/100*Food_DB!$C$3</f>
        <v>260</v>
      </c>
      <c r="P100">
        <f>F100/30*Food_DB!$C$4</f>
        <v>111</v>
      </c>
      <c r="Q100">
        <f>G100*Food_DB!$C$5</f>
        <v>222</v>
      </c>
      <c r="R100">
        <f>H100/100*Food_DB!$C$6</f>
        <v>12</v>
      </c>
      <c r="S100">
        <f>I100/100*Food_DB!$C$7</f>
        <v>62.5</v>
      </c>
      <c r="T100">
        <f>IFERROR(K100/100*VLOOKUP(J100,Food_DB!$A$2:$F$14,3,FALSE),0)</f>
        <v>300</v>
      </c>
      <c r="U100">
        <f>L100*Food_DB!$C$8</f>
        <v>270</v>
      </c>
      <c r="V100">
        <f t="shared" si="4"/>
        <v>1000</v>
      </c>
      <c r="W100">
        <f t="shared" si="5"/>
        <v>2387.5</v>
      </c>
      <c r="X100">
        <f>D100*Food_DB!$D$2+E100/100*Food_DB!$D$3+F100/30*Food_DB!$D$4+G100*Food_DB!$D$5+H100/100*Food_DB!$D$6+I100/100*Food_DB!$D$7+IFERROR(K100/100*VLOOKUP(J100,Food_DB!$A$2:$F$14,4,FALSE),0)+L100*Food_DB!$D$8</f>
        <v>100.49999999999999</v>
      </c>
      <c r="Y100">
        <f>D100*Food_DB!$E$2+E100/100*Food_DB!$E$3+F100/30*Food_DB!$E$4+G100*Food_DB!$E$5+H100/100*Food_DB!$E$6+I100/100*Food_DB!$E$7+IFERROR(K100/100*VLOOKUP(J100,Food_DB!$A$2:$F$14,5,FALSE),0)+L100*Food_DB!$E$8</f>
        <v>32.35</v>
      </c>
      <c r="Z100">
        <f>D100*Food_DB!$F$2+E100/100*Food_DB!$F$3+F100/30*Food_DB!$F$4+G100*Food_DB!$F$5+H100/100*Food_DB!$F$6+I100/100*Food_DB!$F$7+IFERROR(K100/100*VLOOKUP(J100,Food_DB!$A$2:$F$14,6,FALSE),0)+L100*Food_DB!$F$8</f>
        <v>178.15</v>
      </c>
      <c r="AA100">
        <v>6.5</v>
      </c>
      <c r="AB100">
        <v>30</v>
      </c>
      <c r="AC100">
        <v>0</v>
      </c>
      <c r="AD100">
        <v>0</v>
      </c>
      <c r="AE100">
        <f>Dashboard!$B$6*AA100+Dashboard!$B$6*4*AB100/60+Dashboard!$B$6*8*AC100/120+Dashboard!$B$6*7*AD100</f>
        <v>680</v>
      </c>
      <c r="AF100">
        <f>Dashboard!$B$5</f>
        <v>1700</v>
      </c>
      <c r="AG100">
        <f t="shared" si="6"/>
        <v>2720</v>
      </c>
      <c r="AH100">
        <f t="shared" si="7"/>
        <v>-332.5</v>
      </c>
    </row>
    <row r="101" spans="1:34">
      <c r="A101">
        <v>46277</v>
      </c>
      <c r="B101" t="s">
        <v>83</v>
      </c>
      <c r="C101" t="s">
        <v>84</v>
      </c>
      <c r="D101">
        <v>2</v>
      </c>
      <c r="E101">
        <v>400</v>
      </c>
      <c r="F101">
        <v>30</v>
      </c>
      <c r="G101">
        <v>1</v>
      </c>
      <c r="H101">
        <v>150</v>
      </c>
      <c r="I101">
        <v>250</v>
      </c>
      <c r="J101" t="s">
        <v>90</v>
      </c>
      <c r="K101">
        <v>250</v>
      </c>
      <c r="L101">
        <v>3</v>
      </c>
      <c r="M101">
        <v>0</v>
      </c>
      <c r="N101">
        <f>D101*Food_DB!$C$2</f>
        <v>150</v>
      </c>
      <c r="O101">
        <f>E101/100*Food_DB!$C$3</f>
        <v>260</v>
      </c>
      <c r="P101">
        <f>F101/30*Food_DB!$C$4</f>
        <v>111</v>
      </c>
      <c r="Q101">
        <f>G101*Food_DB!$C$5</f>
        <v>222</v>
      </c>
      <c r="R101">
        <f>H101/100*Food_DB!$C$6</f>
        <v>12</v>
      </c>
      <c r="S101">
        <f>I101/100*Food_DB!$C$7</f>
        <v>62.5</v>
      </c>
      <c r="T101">
        <f>IFERROR(K101/100*VLOOKUP(J101,Food_DB!$A$2:$F$14,3,FALSE),0)</f>
        <v>575</v>
      </c>
      <c r="U101">
        <f>L101*Food_DB!$C$8</f>
        <v>270</v>
      </c>
      <c r="V101">
        <f t="shared" si="4"/>
        <v>0</v>
      </c>
      <c r="W101">
        <f t="shared" si="5"/>
        <v>1662.5</v>
      </c>
      <c r="X101">
        <f>D101*Food_DB!$D$2+E101/100*Food_DB!$D$3+F101/30*Food_DB!$D$4+G101*Food_DB!$D$5+H101/100*Food_DB!$D$6+I101/100*Food_DB!$D$7+IFERROR(K101/100*VLOOKUP(J101,Food_DB!$A$2:$F$14,4,FALSE),0)+L101*Food_DB!$D$8</f>
        <v>87.999999999999986</v>
      </c>
      <c r="Y101">
        <f>D101*Food_DB!$E$2+E101/100*Food_DB!$E$3+F101/30*Food_DB!$E$4+G101*Food_DB!$E$5+H101/100*Food_DB!$E$6+I101/100*Food_DB!$E$7+IFERROR(K101/100*VLOOKUP(J101,Food_DB!$A$2:$F$14,5,FALSE),0)+L101*Food_DB!$E$8</f>
        <v>68.599999999999994</v>
      </c>
      <c r="Z101">
        <f>D101*Food_DB!$F$2+E101/100*Food_DB!$F$3+F101/30*Food_DB!$F$4+G101*Food_DB!$F$5+H101/100*Food_DB!$F$6+I101/100*Food_DB!$F$7+IFERROR(K101/100*VLOOKUP(J101,Food_DB!$A$2:$F$14,6,FALSE),0)+L101*Food_DB!$F$8</f>
        <v>178.15</v>
      </c>
      <c r="AA101">
        <v>0</v>
      </c>
      <c r="AB101">
        <v>0</v>
      </c>
      <c r="AC101">
        <v>0</v>
      </c>
      <c r="AD101">
        <v>3.5</v>
      </c>
      <c r="AE101">
        <f>Dashboard!$B$6*AA101+Dashboard!$B$6*4*AB101/60+Dashboard!$B$6*8*AC101/120+Dashboard!$B$6*7*AD101</f>
        <v>1960</v>
      </c>
      <c r="AF101">
        <f>Dashboard!$B$5</f>
        <v>1700</v>
      </c>
      <c r="AG101">
        <f t="shared" si="6"/>
        <v>4000</v>
      </c>
      <c r="AH101">
        <f t="shared" si="7"/>
        <v>-2337.5</v>
      </c>
    </row>
    <row r="102" spans="1:34">
      <c r="A102">
        <v>46278</v>
      </c>
      <c r="B102" t="s">
        <v>86</v>
      </c>
      <c r="C102" t="s">
        <v>84</v>
      </c>
      <c r="D102">
        <v>2</v>
      </c>
      <c r="E102">
        <v>400</v>
      </c>
      <c r="F102">
        <v>30</v>
      </c>
      <c r="G102">
        <v>1</v>
      </c>
      <c r="H102">
        <v>150</v>
      </c>
      <c r="I102">
        <v>250</v>
      </c>
      <c r="J102" t="s">
        <v>82</v>
      </c>
      <c r="K102">
        <v>250</v>
      </c>
      <c r="L102">
        <v>3</v>
      </c>
      <c r="M102">
        <v>0</v>
      </c>
      <c r="N102">
        <f>D102*Food_DB!$C$2</f>
        <v>150</v>
      </c>
      <c r="O102">
        <f>E102/100*Food_DB!$C$3</f>
        <v>260</v>
      </c>
      <c r="P102">
        <f>F102/30*Food_DB!$C$4</f>
        <v>111</v>
      </c>
      <c r="Q102">
        <f>G102*Food_DB!$C$5</f>
        <v>222</v>
      </c>
      <c r="R102">
        <f>H102/100*Food_DB!$C$6</f>
        <v>12</v>
      </c>
      <c r="S102">
        <f>I102/100*Food_DB!$C$7</f>
        <v>62.5</v>
      </c>
      <c r="T102">
        <f>IFERROR(K102/100*VLOOKUP(J102,Food_DB!$A$2:$F$14,3,FALSE),0)</f>
        <v>550</v>
      </c>
      <c r="U102">
        <f>L102*Food_DB!$C$8</f>
        <v>270</v>
      </c>
      <c r="V102">
        <f t="shared" si="4"/>
        <v>0</v>
      </c>
      <c r="W102">
        <f t="shared" si="5"/>
        <v>1637.5</v>
      </c>
      <c r="X102">
        <f>D102*Food_DB!$D$2+E102/100*Food_DB!$D$3+F102/30*Food_DB!$D$4+G102*Food_DB!$D$5+H102/100*Food_DB!$D$6+I102/100*Food_DB!$D$7+IFERROR(K102/100*VLOOKUP(J102,Food_DB!$A$2:$F$14,4,FALSE),0)+L102*Food_DB!$D$8</f>
        <v>92.999999999999986</v>
      </c>
      <c r="Y102">
        <f>D102*Food_DB!$E$2+E102/100*Food_DB!$E$3+F102/30*Food_DB!$E$4+G102*Food_DB!$E$5+H102/100*Food_DB!$E$6+I102/100*Food_DB!$E$7+IFERROR(K102/100*VLOOKUP(J102,Food_DB!$A$2:$F$14,5,FALSE),0)+L102*Food_DB!$E$8</f>
        <v>63.6</v>
      </c>
      <c r="Z102">
        <f>D102*Food_DB!$F$2+E102/100*Food_DB!$F$3+F102/30*Food_DB!$F$4+G102*Food_DB!$F$5+H102/100*Food_DB!$F$6+I102/100*Food_DB!$F$7+IFERROR(K102/100*VLOOKUP(J102,Food_DB!$A$2:$F$14,6,FALSE),0)+L102*Food_DB!$F$8</f>
        <v>178.15</v>
      </c>
      <c r="AA102">
        <v>0</v>
      </c>
      <c r="AB102">
        <v>0</v>
      </c>
      <c r="AC102">
        <v>0</v>
      </c>
      <c r="AD102">
        <v>3.5</v>
      </c>
      <c r="AE102">
        <f>Dashboard!$B$6*AA102+Dashboard!$B$6*4*AB102/60+Dashboard!$B$6*8*AC102/120+Dashboard!$B$6*7*AD102</f>
        <v>1960</v>
      </c>
      <c r="AF102">
        <f>Dashboard!$B$5</f>
        <v>1700</v>
      </c>
      <c r="AG102">
        <f t="shared" si="6"/>
        <v>4000</v>
      </c>
      <c r="AH102">
        <f t="shared" si="7"/>
        <v>-2362.5</v>
      </c>
    </row>
    <row r="103" spans="1:34">
      <c r="A103">
        <v>46279</v>
      </c>
      <c r="B103" t="s">
        <v>88</v>
      </c>
      <c r="C103" t="s">
        <v>89</v>
      </c>
      <c r="D103">
        <v>2</v>
      </c>
      <c r="E103">
        <v>400</v>
      </c>
      <c r="F103">
        <v>30</v>
      </c>
      <c r="G103">
        <v>1</v>
      </c>
      <c r="H103">
        <v>150</v>
      </c>
      <c r="I103">
        <v>250</v>
      </c>
      <c r="J103" t="s">
        <v>85</v>
      </c>
      <c r="K103">
        <v>250</v>
      </c>
      <c r="L103">
        <v>3</v>
      </c>
      <c r="M103">
        <v>0</v>
      </c>
      <c r="N103">
        <f>D103*Food_DB!$C$2</f>
        <v>150</v>
      </c>
      <c r="O103">
        <f>E103/100*Food_DB!$C$3</f>
        <v>260</v>
      </c>
      <c r="P103">
        <f>F103/30*Food_DB!$C$4</f>
        <v>111</v>
      </c>
      <c r="Q103">
        <f>G103*Food_DB!$C$5</f>
        <v>222</v>
      </c>
      <c r="R103">
        <f>H103/100*Food_DB!$C$6</f>
        <v>12</v>
      </c>
      <c r="S103">
        <f>I103/100*Food_DB!$C$7</f>
        <v>62.5</v>
      </c>
      <c r="T103">
        <f>IFERROR(K103/100*VLOOKUP(J103,Food_DB!$A$2:$F$14,3,FALSE),0)</f>
        <v>450</v>
      </c>
      <c r="U103">
        <f>L103*Food_DB!$C$8</f>
        <v>270</v>
      </c>
      <c r="V103">
        <f t="shared" si="4"/>
        <v>0</v>
      </c>
      <c r="W103">
        <f t="shared" si="5"/>
        <v>1537.5</v>
      </c>
      <c r="X103">
        <f>D103*Food_DB!$D$2+E103/100*Food_DB!$D$3+F103/30*Food_DB!$D$4+G103*Food_DB!$D$5+H103/100*Food_DB!$D$6+I103/100*Food_DB!$D$7+IFERROR(K103/100*VLOOKUP(J103,Food_DB!$A$2:$F$14,4,FALSE),0)+L103*Food_DB!$D$8</f>
        <v>92.999999999999986</v>
      </c>
      <c r="Y103">
        <f>D103*Food_DB!$E$2+E103/100*Food_DB!$E$3+F103/30*Food_DB!$E$4+G103*Food_DB!$E$5+H103/100*Food_DB!$E$6+I103/100*Food_DB!$E$7+IFERROR(K103/100*VLOOKUP(J103,Food_DB!$A$2:$F$14,5,FALSE),0)+L103*Food_DB!$E$8</f>
        <v>51.1</v>
      </c>
      <c r="Z103">
        <f>D103*Food_DB!$F$2+E103/100*Food_DB!$F$3+F103/30*Food_DB!$F$4+G103*Food_DB!$F$5+H103/100*Food_DB!$F$6+I103/100*Food_DB!$F$7+IFERROR(K103/100*VLOOKUP(J103,Food_DB!$A$2:$F$14,6,FALSE),0)+L103*Food_DB!$F$8</f>
        <v>178.15</v>
      </c>
      <c r="AA103">
        <v>6.5</v>
      </c>
      <c r="AB103">
        <v>30</v>
      </c>
      <c r="AC103">
        <v>0</v>
      </c>
      <c r="AD103">
        <v>0</v>
      </c>
      <c r="AE103">
        <f>Dashboard!$B$6*AA103+Dashboard!$B$6*4*AB103/60+Dashboard!$B$6*8*AC103/120+Dashboard!$B$6*7*AD103</f>
        <v>680</v>
      </c>
      <c r="AF103">
        <f>Dashboard!$B$5</f>
        <v>1700</v>
      </c>
      <c r="AG103">
        <f t="shared" si="6"/>
        <v>2720</v>
      </c>
      <c r="AH103">
        <f t="shared" si="7"/>
        <v>-1182.5</v>
      </c>
    </row>
    <row r="104" spans="1:34">
      <c r="A104">
        <v>46280</v>
      </c>
      <c r="B104" t="s">
        <v>91</v>
      </c>
      <c r="C104" t="s">
        <v>89</v>
      </c>
      <c r="D104">
        <v>2</v>
      </c>
      <c r="E104">
        <v>400</v>
      </c>
      <c r="F104">
        <v>30</v>
      </c>
      <c r="G104">
        <v>1</v>
      </c>
      <c r="H104">
        <v>150</v>
      </c>
      <c r="I104">
        <v>250</v>
      </c>
      <c r="J104" t="s">
        <v>87</v>
      </c>
      <c r="K104">
        <v>250</v>
      </c>
      <c r="L104">
        <v>3</v>
      </c>
      <c r="M104">
        <v>0</v>
      </c>
      <c r="N104">
        <f>D104*Food_DB!$C$2</f>
        <v>150</v>
      </c>
      <c r="O104">
        <f>E104/100*Food_DB!$C$3</f>
        <v>260</v>
      </c>
      <c r="P104">
        <f>F104/30*Food_DB!$C$4</f>
        <v>111</v>
      </c>
      <c r="Q104">
        <f>G104*Food_DB!$C$5</f>
        <v>222</v>
      </c>
      <c r="R104">
        <f>H104/100*Food_DB!$C$6</f>
        <v>12</v>
      </c>
      <c r="S104">
        <f>I104/100*Food_DB!$C$7</f>
        <v>62.5</v>
      </c>
      <c r="T104">
        <f>IFERROR(K104/100*VLOOKUP(J104,Food_DB!$A$2:$F$14,3,FALSE),0)</f>
        <v>300</v>
      </c>
      <c r="U104">
        <f>L104*Food_DB!$C$8</f>
        <v>270</v>
      </c>
      <c r="V104">
        <f t="shared" si="4"/>
        <v>0</v>
      </c>
      <c r="W104">
        <f t="shared" si="5"/>
        <v>1387.5</v>
      </c>
      <c r="X104">
        <f>D104*Food_DB!$D$2+E104/100*Food_DB!$D$3+F104/30*Food_DB!$D$4+G104*Food_DB!$D$5+H104/100*Food_DB!$D$6+I104/100*Food_DB!$D$7+IFERROR(K104/100*VLOOKUP(J104,Food_DB!$A$2:$F$14,4,FALSE),0)+L104*Food_DB!$D$8</f>
        <v>100.49999999999999</v>
      </c>
      <c r="Y104">
        <f>D104*Food_DB!$E$2+E104/100*Food_DB!$E$3+F104/30*Food_DB!$E$4+G104*Food_DB!$E$5+H104/100*Food_DB!$E$6+I104/100*Food_DB!$E$7+IFERROR(K104/100*VLOOKUP(J104,Food_DB!$A$2:$F$14,5,FALSE),0)+L104*Food_DB!$E$8</f>
        <v>32.35</v>
      </c>
      <c r="Z104">
        <f>D104*Food_DB!$F$2+E104/100*Food_DB!$F$3+F104/30*Food_DB!$F$4+G104*Food_DB!$F$5+H104/100*Food_DB!$F$6+I104/100*Food_DB!$F$7+IFERROR(K104/100*VLOOKUP(J104,Food_DB!$A$2:$F$14,6,FALSE),0)+L104*Food_DB!$F$8</f>
        <v>178.15</v>
      </c>
      <c r="AA104">
        <v>6.5</v>
      </c>
      <c r="AB104">
        <v>30</v>
      </c>
      <c r="AC104">
        <v>0</v>
      </c>
      <c r="AD104">
        <v>0</v>
      </c>
      <c r="AE104">
        <f>Dashboard!$B$6*AA104+Dashboard!$B$6*4*AB104/60+Dashboard!$B$6*8*AC104/120+Dashboard!$B$6*7*AD104</f>
        <v>680</v>
      </c>
      <c r="AF104">
        <f>Dashboard!$B$5</f>
        <v>1700</v>
      </c>
      <c r="AG104">
        <f t="shared" si="6"/>
        <v>2720</v>
      </c>
      <c r="AH104">
        <f t="shared" si="7"/>
        <v>-1332.5</v>
      </c>
    </row>
    <row r="105" spans="1:34">
      <c r="A105">
        <v>46281</v>
      </c>
      <c r="B105" t="s">
        <v>92</v>
      </c>
      <c r="C105" t="s">
        <v>89</v>
      </c>
      <c r="D105">
        <v>2</v>
      </c>
      <c r="E105">
        <v>400</v>
      </c>
      <c r="F105">
        <v>30</v>
      </c>
      <c r="G105">
        <v>1</v>
      </c>
      <c r="H105">
        <v>150</v>
      </c>
      <c r="I105">
        <v>250</v>
      </c>
      <c r="J105" t="s">
        <v>90</v>
      </c>
      <c r="K105">
        <v>250</v>
      </c>
      <c r="L105">
        <v>3</v>
      </c>
      <c r="M105">
        <v>0</v>
      </c>
      <c r="N105">
        <f>D105*Food_DB!$C$2</f>
        <v>150</v>
      </c>
      <c r="O105">
        <f>E105/100*Food_DB!$C$3</f>
        <v>260</v>
      </c>
      <c r="P105">
        <f>F105/30*Food_DB!$C$4</f>
        <v>111</v>
      </c>
      <c r="Q105">
        <f>G105*Food_DB!$C$5</f>
        <v>222</v>
      </c>
      <c r="R105">
        <f>H105/100*Food_DB!$C$6</f>
        <v>12</v>
      </c>
      <c r="S105">
        <f>I105/100*Food_DB!$C$7</f>
        <v>62.5</v>
      </c>
      <c r="T105">
        <f>IFERROR(K105/100*VLOOKUP(J105,Food_DB!$A$2:$F$14,3,FALSE),0)</f>
        <v>575</v>
      </c>
      <c r="U105">
        <f>L105*Food_DB!$C$8</f>
        <v>270</v>
      </c>
      <c r="V105">
        <f t="shared" si="4"/>
        <v>0</v>
      </c>
      <c r="W105">
        <f t="shared" si="5"/>
        <v>1662.5</v>
      </c>
      <c r="X105">
        <f>D105*Food_DB!$D$2+E105/100*Food_DB!$D$3+F105/30*Food_DB!$D$4+G105*Food_DB!$D$5+H105/100*Food_DB!$D$6+I105/100*Food_DB!$D$7+IFERROR(K105/100*VLOOKUP(J105,Food_DB!$A$2:$F$14,4,FALSE),0)+L105*Food_DB!$D$8</f>
        <v>87.999999999999986</v>
      </c>
      <c r="Y105">
        <f>D105*Food_DB!$E$2+E105/100*Food_DB!$E$3+F105/30*Food_DB!$E$4+G105*Food_DB!$E$5+H105/100*Food_DB!$E$6+I105/100*Food_DB!$E$7+IFERROR(K105/100*VLOOKUP(J105,Food_DB!$A$2:$F$14,5,FALSE),0)+L105*Food_DB!$E$8</f>
        <v>68.599999999999994</v>
      </c>
      <c r="Z105">
        <f>D105*Food_DB!$F$2+E105/100*Food_DB!$F$3+F105/30*Food_DB!$F$4+G105*Food_DB!$F$5+H105/100*Food_DB!$F$6+I105/100*Food_DB!$F$7+IFERROR(K105/100*VLOOKUP(J105,Food_DB!$A$2:$F$14,6,FALSE),0)+L105*Food_DB!$F$8</f>
        <v>178.15</v>
      </c>
      <c r="AA105">
        <v>6.5</v>
      </c>
      <c r="AB105">
        <v>30</v>
      </c>
      <c r="AC105">
        <v>0</v>
      </c>
      <c r="AD105">
        <v>0</v>
      </c>
      <c r="AE105">
        <f>Dashboard!$B$6*AA105+Dashboard!$B$6*4*AB105/60+Dashboard!$B$6*8*AC105/120+Dashboard!$B$6*7*AD105</f>
        <v>680</v>
      </c>
      <c r="AF105">
        <f>Dashboard!$B$5</f>
        <v>1700</v>
      </c>
      <c r="AG105">
        <f t="shared" si="6"/>
        <v>2720</v>
      </c>
      <c r="AH105">
        <f t="shared" si="7"/>
        <v>-1057.5</v>
      </c>
    </row>
    <row r="106" spans="1:34">
      <c r="A106">
        <v>46282</v>
      </c>
      <c r="B106" t="s">
        <v>93</v>
      </c>
      <c r="C106" t="s">
        <v>89</v>
      </c>
      <c r="D106">
        <v>2</v>
      </c>
      <c r="E106">
        <v>400</v>
      </c>
      <c r="F106">
        <v>30</v>
      </c>
      <c r="G106">
        <v>1</v>
      </c>
      <c r="H106">
        <v>150</v>
      </c>
      <c r="I106">
        <v>250</v>
      </c>
      <c r="J106" t="s">
        <v>82</v>
      </c>
      <c r="K106">
        <v>250</v>
      </c>
      <c r="L106">
        <v>3</v>
      </c>
      <c r="M106">
        <v>0</v>
      </c>
      <c r="N106">
        <f>D106*Food_DB!$C$2</f>
        <v>150</v>
      </c>
      <c r="O106">
        <f>E106/100*Food_DB!$C$3</f>
        <v>260</v>
      </c>
      <c r="P106">
        <f>F106/30*Food_DB!$C$4</f>
        <v>111</v>
      </c>
      <c r="Q106">
        <f>G106*Food_DB!$C$5</f>
        <v>222</v>
      </c>
      <c r="R106">
        <f>H106/100*Food_DB!$C$6</f>
        <v>12</v>
      </c>
      <c r="S106">
        <f>I106/100*Food_DB!$C$7</f>
        <v>62.5</v>
      </c>
      <c r="T106">
        <f>IFERROR(K106/100*VLOOKUP(J106,Food_DB!$A$2:$F$14,3,FALSE),0)</f>
        <v>550</v>
      </c>
      <c r="U106">
        <f>L106*Food_DB!$C$8</f>
        <v>270</v>
      </c>
      <c r="V106">
        <f t="shared" si="4"/>
        <v>0</v>
      </c>
      <c r="W106">
        <f t="shared" si="5"/>
        <v>1637.5</v>
      </c>
      <c r="X106">
        <f>D106*Food_DB!$D$2+E106/100*Food_DB!$D$3+F106/30*Food_DB!$D$4+G106*Food_DB!$D$5+H106/100*Food_DB!$D$6+I106/100*Food_DB!$D$7+IFERROR(K106/100*VLOOKUP(J106,Food_DB!$A$2:$F$14,4,FALSE),0)+L106*Food_DB!$D$8</f>
        <v>92.999999999999986</v>
      </c>
      <c r="Y106">
        <f>D106*Food_DB!$E$2+E106/100*Food_DB!$E$3+F106/30*Food_DB!$E$4+G106*Food_DB!$E$5+H106/100*Food_DB!$E$6+I106/100*Food_DB!$E$7+IFERROR(K106/100*VLOOKUP(J106,Food_DB!$A$2:$F$14,5,FALSE),0)+L106*Food_DB!$E$8</f>
        <v>63.6</v>
      </c>
      <c r="Z106">
        <f>D106*Food_DB!$F$2+E106/100*Food_DB!$F$3+F106/30*Food_DB!$F$4+G106*Food_DB!$F$5+H106/100*Food_DB!$F$6+I106/100*Food_DB!$F$7+IFERROR(K106/100*VLOOKUP(J106,Food_DB!$A$2:$F$14,6,FALSE),0)+L106*Food_DB!$F$8</f>
        <v>178.15</v>
      </c>
      <c r="AA106">
        <v>6.5</v>
      </c>
      <c r="AB106">
        <v>30</v>
      </c>
      <c r="AC106">
        <v>0</v>
      </c>
      <c r="AD106">
        <v>0</v>
      </c>
      <c r="AE106">
        <f>Dashboard!$B$6*AA106+Dashboard!$B$6*4*AB106/60+Dashboard!$B$6*8*AC106/120+Dashboard!$B$6*7*AD106</f>
        <v>680</v>
      </c>
      <c r="AF106">
        <f>Dashboard!$B$5</f>
        <v>1700</v>
      </c>
      <c r="AG106">
        <f t="shared" si="6"/>
        <v>2720</v>
      </c>
      <c r="AH106">
        <f t="shared" si="7"/>
        <v>-1082.5</v>
      </c>
    </row>
    <row r="107" spans="1:34">
      <c r="A107">
        <v>46283</v>
      </c>
      <c r="B107" t="s">
        <v>80</v>
      </c>
      <c r="C107" t="s">
        <v>81</v>
      </c>
      <c r="D107">
        <v>2</v>
      </c>
      <c r="E107">
        <v>400</v>
      </c>
      <c r="F107">
        <v>30</v>
      </c>
      <c r="G107">
        <v>1</v>
      </c>
      <c r="H107">
        <v>150</v>
      </c>
      <c r="I107">
        <v>250</v>
      </c>
      <c r="J107" t="s">
        <v>85</v>
      </c>
      <c r="K107">
        <v>250</v>
      </c>
      <c r="L107">
        <v>3</v>
      </c>
      <c r="M107">
        <v>1000</v>
      </c>
      <c r="N107">
        <f>D107*Food_DB!$C$2</f>
        <v>150</v>
      </c>
      <c r="O107">
        <f>E107/100*Food_DB!$C$3</f>
        <v>260</v>
      </c>
      <c r="P107">
        <f>F107/30*Food_DB!$C$4</f>
        <v>111</v>
      </c>
      <c r="Q107">
        <f>G107*Food_DB!$C$5</f>
        <v>222</v>
      </c>
      <c r="R107">
        <f>H107/100*Food_DB!$C$6</f>
        <v>12</v>
      </c>
      <c r="S107">
        <f>I107/100*Food_DB!$C$7</f>
        <v>62.5</v>
      </c>
      <c r="T107">
        <f>IFERROR(K107/100*VLOOKUP(J107,Food_DB!$A$2:$F$14,3,FALSE),0)</f>
        <v>450</v>
      </c>
      <c r="U107">
        <f>L107*Food_DB!$C$8</f>
        <v>270</v>
      </c>
      <c r="V107">
        <f t="shared" si="4"/>
        <v>1000</v>
      </c>
      <c r="W107">
        <f t="shared" si="5"/>
        <v>2537.5</v>
      </c>
      <c r="X107">
        <f>D107*Food_DB!$D$2+E107/100*Food_DB!$D$3+F107/30*Food_DB!$D$4+G107*Food_DB!$D$5+H107/100*Food_DB!$D$6+I107/100*Food_DB!$D$7+IFERROR(K107/100*VLOOKUP(J107,Food_DB!$A$2:$F$14,4,FALSE),0)+L107*Food_DB!$D$8</f>
        <v>92.999999999999986</v>
      </c>
      <c r="Y107">
        <f>D107*Food_DB!$E$2+E107/100*Food_DB!$E$3+F107/30*Food_DB!$E$4+G107*Food_DB!$E$5+H107/100*Food_DB!$E$6+I107/100*Food_DB!$E$7+IFERROR(K107/100*VLOOKUP(J107,Food_DB!$A$2:$F$14,5,FALSE),0)+L107*Food_DB!$E$8</f>
        <v>51.1</v>
      </c>
      <c r="Z107">
        <f>D107*Food_DB!$F$2+E107/100*Food_DB!$F$3+F107/30*Food_DB!$F$4+G107*Food_DB!$F$5+H107/100*Food_DB!$F$6+I107/100*Food_DB!$F$7+IFERROR(K107/100*VLOOKUP(J107,Food_DB!$A$2:$F$14,6,FALSE),0)+L107*Food_DB!$F$8</f>
        <v>178.15</v>
      </c>
      <c r="AA107">
        <v>6.5</v>
      </c>
      <c r="AB107">
        <v>30</v>
      </c>
      <c r="AC107">
        <v>0</v>
      </c>
      <c r="AD107">
        <v>0</v>
      </c>
      <c r="AE107">
        <f>Dashboard!$B$6*AA107+Dashboard!$B$6*4*AB107/60+Dashboard!$B$6*8*AC107/120+Dashboard!$B$6*7*AD107</f>
        <v>680</v>
      </c>
      <c r="AF107">
        <f>Dashboard!$B$5</f>
        <v>1700</v>
      </c>
      <c r="AG107">
        <f t="shared" si="6"/>
        <v>2720</v>
      </c>
      <c r="AH107">
        <f t="shared" si="7"/>
        <v>-182.5</v>
      </c>
    </row>
    <row r="108" spans="1:34">
      <c r="A108">
        <v>46284</v>
      </c>
      <c r="B108" t="s">
        <v>83</v>
      </c>
      <c r="C108" t="s">
        <v>84</v>
      </c>
      <c r="D108">
        <v>2</v>
      </c>
      <c r="E108">
        <v>400</v>
      </c>
      <c r="F108">
        <v>30</v>
      </c>
      <c r="G108">
        <v>1</v>
      </c>
      <c r="H108">
        <v>150</v>
      </c>
      <c r="I108">
        <v>250</v>
      </c>
      <c r="J108" t="s">
        <v>87</v>
      </c>
      <c r="K108">
        <v>250</v>
      </c>
      <c r="L108">
        <v>3</v>
      </c>
      <c r="M108">
        <v>0</v>
      </c>
      <c r="N108">
        <f>D108*Food_DB!$C$2</f>
        <v>150</v>
      </c>
      <c r="O108">
        <f>E108/100*Food_DB!$C$3</f>
        <v>260</v>
      </c>
      <c r="P108">
        <f>F108/30*Food_DB!$C$4</f>
        <v>111</v>
      </c>
      <c r="Q108">
        <f>G108*Food_DB!$C$5</f>
        <v>222</v>
      </c>
      <c r="R108">
        <f>H108/100*Food_DB!$C$6</f>
        <v>12</v>
      </c>
      <c r="S108">
        <f>I108/100*Food_DB!$C$7</f>
        <v>62.5</v>
      </c>
      <c r="T108">
        <f>IFERROR(K108/100*VLOOKUP(J108,Food_DB!$A$2:$F$14,3,FALSE),0)</f>
        <v>300</v>
      </c>
      <c r="U108">
        <f>L108*Food_DB!$C$8</f>
        <v>270</v>
      </c>
      <c r="V108">
        <f t="shared" si="4"/>
        <v>0</v>
      </c>
      <c r="W108">
        <f t="shared" si="5"/>
        <v>1387.5</v>
      </c>
      <c r="X108">
        <f>D108*Food_DB!$D$2+E108/100*Food_DB!$D$3+F108/30*Food_DB!$D$4+G108*Food_DB!$D$5+H108/100*Food_DB!$D$6+I108/100*Food_DB!$D$7+IFERROR(K108/100*VLOOKUP(J108,Food_DB!$A$2:$F$14,4,FALSE),0)+L108*Food_DB!$D$8</f>
        <v>100.49999999999999</v>
      </c>
      <c r="Y108">
        <f>D108*Food_DB!$E$2+E108/100*Food_DB!$E$3+F108/30*Food_DB!$E$4+G108*Food_DB!$E$5+H108/100*Food_DB!$E$6+I108/100*Food_DB!$E$7+IFERROR(K108/100*VLOOKUP(J108,Food_DB!$A$2:$F$14,5,FALSE),0)+L108*Food_DB!$E$8</f>
        <v>32.35</v>
      </c>
      <c r="Z108">
        <f>D108*Food_DB!$F$2+E108/100*Food_DB!$F$3+F108/30*Food_DB!$F$4+G108*Food_DB!$F$5+H108/100*Food_DB!$F$6+I108/100*Food_DB!$F$7+IFERROR(K108/100*VLOOKUP(J108,Food_DB!$A$2:$F$14,6,FALSE),0)+L108*Food_DB!$F$8</f>
        <v>178.15</v>
      </c>
      <c r="AA108">
        <v>0</v>
      </c>
      <c r="AB108">
        <v>0</v>
      </c>
      <c r="AC108">
        <v>0</v>
      </c>
      <c r="AD108">
        <v>3.5</v>
      </c>
      <c r="AE108">
        <f>Dashboard!$B$6*AA108+Dashboard!$B$6*4*AB108/60+Dashboard!$B$6*8*AC108/120+Dashboard!$B$6*7*AD108</f>
        <v>1960</v>
      </c>
      <c r="AF108">
        <f>Dashboard!$B$5</f>
        <v>1700</v>
      </c>
      <c r="AG108">
        <f t="shared" si="6"/>
        <v>4000</v>
      </c>
      <c r="AH108">
        <f t="shared" si="7"/>
        <v>-2612.5</v>
      </c>
    </row>
    <row r="109" spans="1:34">
      <c r="A109">
        <v>46285</v>
      </c>
      <c r="B109" t="s">
        <v>86</v>
      </c>
      <c r="C109" t="s">
        <v>84</v>
      </c>
      <c r="D109">
        <v>2</v>
      </c>
      <c r="E109">
        <v>400</v>
      </c>
      <c r="F109">
        <v>30</v>
      </c>
      <c r="G109">
        <v>1</v>
      </c>
      <c r="H109">
        <v>150</v>
      </c>
      <c r="I109">
        <v>250</v>
      </c>
      <c r="J109" t="s">
        <v>90</v>
      </c>
      <c r="K109">
        <v>250</v>
      </c>
      <c r="L109">
        <v>3</v>
      </c>
      <c r="M109">
        <v>0</v>
      </c>
      <c r="N109">
        <f>D109*Food_DB!$C$2</f>
        <v>150</v>
      </c>
      <c r="O109">
        <f>E109/100*Food_DB!$C$3</f>
        <v>260</v>
      </c>
      <c r="P109">
        <f>F109/30*Food_DB!$C$4</f>
        <v>111</v>
      </c>
      <c r="Q109">
        <f>G109*Food_DB!$C$5</f>
        <v>222</v>
      </c>
      <c r="R109">
        <f>H109/100*Food_DB!$C$6</f>
        <v>12</v>
      </c>
      <c r="S109">
        <f>I109/100*Food_DB!$C$7</f>
        <v>62.5</v>
      </c>
      <c r="T109">
        <f>IFERROR(K109/100*VLOOKUP(J109,Food_DB!$A$2:$F$14,3,FALSE),0)</f>
        <v>575</v>
      </c>
      <c r="U109">
        <f>L109*Food_DB!$C$8</f>
        <v>270</v>
      </c>
      <c r="V109">
        <f t="shared" si="4"/>
        <v>0</v>
      </c>
      <c r="W109">
        <f t="shared" si="5"/>
        <v>1662.5</v>
      </c>
      <c r="X109">
        <f>D109*Food_DB!$D$2+E109/100*Food_DB!$D$3+F109/30*Food_DB!$D$4+G109*Food_DB!$D$5+H109/100*Food_DB!$D$6+I109/100*Food_DB!$D$7+IFERROR(K109/100*VLOOKUP(J109,Food_DB!$A$2:$F$14,4,FALSE),0)+L109*Food_DB!$D$8</f>
        <v>87.999999999999986</v>
      </c>
      <c r="Y109">
        <f>D109*Food_DB!$E$2+E109/100*Food_DB!$E$3+F109/30*Food_DB!$E$4+G109*Food_DB!$E$5+H109/100*Food_DB!$E$6+I109/100*Food_DB!$E$7+IFERROR(K109/100*VLOOKUP(J109,Food_DB!$A$2:$F$14,5,FALSE),0)+L109*Food_DB!$E$8</f>
        <v>68.599999999999994</v>
      </c>
      <c r="Z109">
        <f>D109*Food_DB!$F$2+E109/100*Food_DB!$F$3+F109/30*Food_DB!$F$4+G109*Food_DB!$F$5+H109/100*Food_DB!$F$6+I109/100*Food_DB!$F$7+IFERROR(K109/100*VLOOKUP(J109,Food_DB!$A$2:$F$14,6,FALSE),0)+L109*Food_DB!$F$8</f>
        <v>178.15</v>
      </c>
      <c r="AA109">
        <v>0</v>
      </c>
      <c r="AB109">
        <v>0</v>
      </c>
      <c r="AC109">
        <v>0</v>
      </c>
      <c r="AD109">
        <v>3.5</v>
      </c>
      <c r="AE109">
        <f>Dashboard!$B$6*AA109+Dashboard!$B$6*4*AB109/60+Dashboard!$B$6*8*AC109/120+Dashboard!$B$6*7*AD109</f>
        <v>1960</v>
      </c>
      <c r="AF109">
        <f>Dashboard!$B$5</f>
        <v>1700</v>
      </c>
      <c r="AG109">
        <f t="shared" si="6"/>
        <v>4000</v>
      </c>
      <c r="AH109">
        <f t="shared" si="7"/>
        <v>-2337.5</v>
      </c>
    </row>
    <row r="110" spans="1:34">
      <c r="A110">
        <v>46286</v>
      </c>
      <c r="B110" t="s">
        <v>88</v>
      </c>
      <c r="C110" t="s">
        <v>89</v>
      </c>
      <c r="D110">
        <v>2</v>
      </c>
      <c r="E110">
        <v>400</v>
      </c>
      <c r="F110">
        <v>30</v>
      </c>
      <c r="G110">
        <v>1</v>
      </c>
      <c r="H110">
        <v>150</v>
      </c>
      <c r="I110">
        <v>250</v>
      </c>
      <c r="J110" t="s">
        <v>82</v>
      </c>
      <c r="K110">
        <v>250</v>
      </c>
      <c r="L110">
        <v>3</v>
      </c>
      <c r="M110">
        <v>0</v>
      </c>
      <c r="N110">
        <f>D110*Food_DB!$C$2</f>
        <v>150</v>
      </c>
      <c r="O110">
        <f>E110/100*Food_DB!$C$3</f>
        <v>260</v>
      </c>
      <c r="P110">
        <f>F110/30*Food_DB!$C$4</f>
        <v>111</v>
      </c>
      <c r="Q110">
        <f>G110*Food_DB!$C$5</f>
        <v>222</v>
      </c>
      <c r="R110">
        <f>H110/100*Food_DB!$C$6</f>
        <v>12</v>
      </c>
      <c r="S110">
        <f>I110/100*Food_DB!$C$7</f>
        <v>62.5</v>
      </c>
      <c r="T110">
        <f>IFERROR(K110/100*VLOOKUP(J110,Food_DB!$A$2:$F$14,3,FALSE),0)</f>
        <v>550</v>
      </c>
      <c r="U110">
        <f>L110*Food_DB!$C$8</f>
        <v>270</v>
      </c>
      <c r="V110">
        <f t="shared" si="4"/>
        <v>0</v>
      </c>
      <c r="W110">
        <f t="shared" si="5"/>
        <v>1637.5</v>
      </c>
      <c r="X110">
        <f>D110*Food_DB!$D$2+E110/100*Food_DB!$D$3+F110/30*Food_DB!$D$4+G110*Food_DB!$D$5+H110/100*Food_DB!$D$6+I110/100*Food_DB!$D$7+IFERROR(K110/100*VLOOKUP(J110,Food_DB!$A$2:$F$14,4,FALSE),0)+L110*Food_DB!$D$8</f>
        <v>92.999999999999986</v>
      </c>
      <c r="Y110">
        <f>D110*Food_DB!$E$2+E110/100*Food_DB!$E$3+F110/30*Food_DB!$E$4+G110*Food_DB!$E$5+H110/100*Food_DB!$E$6+I110/100*Food_DB!$E$7+IFERROR(K110/100*VLOOKUP(J110,Food_DB!$A$2:$F$14,5,FALSE),0)+L110*Food_DB!$E$8</f>
        <v>63.6</v>
      </c>
      <c r="Z110">
        <f>D110*Food_DB!$F$2+E110/100*Food_DB!$F$3+F110/30*Food_DB!$F$4+G110*Food_DB!$F$5+H110/100*Food_DB!$F$6+I110/100*Food_DB!$F$7+IFERROR(K110/100*VLOOKUP(J110,Food_DB!$A$2:$F$14,6,FALSE),0)+L110*Food_DB!$F$8</f>
        <v>178.15</v>
      </c>
      <c r="AA110">
        <v>6.5</v>
      </c>
      <c r="AB110">
        <v>30</v>
      </c>
      <c r="AC110">
        <v>0</v>
      </c>
      <c r="AD110">
        <v>0</v>
      </c>
      <c r="AE110">
        <f>Dashboard!$B$6*AA110+Dashboard!$B$6*4*AB110/60+Dashboard!$B$6*8*AC110/120+Dashboard!$B$6*7*AD110</f>
        <v>680</v>
      </c>
      <c r="AF110">
        <f>Dashboard!$B$5</f>
        <v>1700</v>
      </c>
      <c r="AG110">
        <f t="shared" si="6"/>
        <v>2720</v>
      </c>
      <c r="AH110">
        <f t="shared" si="7"/>
        <v>-1082.5</v>
      </c>
    </row>
    <row r="111" spans="1:34">
      <c r="A111">
        <v>46287</v>
      </c>
      <c r="B111" t="s">
        <v>91</v>
      </c>
      <c r="C111" t="s">
        <v>89</v>
      </c>
      <c r="D111">
        <v>2</v>
      </c>
      <c r="E111">
        <v>400</v>
      </c>
      <c r="F111">
        <v>30</v>
      </c>
      <c r="G111">
        <v>1</v>
      </c>
      <c r="H111">
        <v>150</v>
      </c>
      <c r="I111">
        <v>250</v>
      </c>
      <c r="J111" t="s">
        <v>85</v>
      </c>
      <c r="K111">
        <v>250</v>
      </c>
      <c r="L111">
        <v>3</v>
      </c>
      <c r="M111">
        <v>0</v>
      </c>
      <c r="N111">
        <f>D111*Food_DB!$C$2</f>
        <v>150</v>
      </c>
      <c r="O111">
        <f>E111/100*Food_DB!$C$3</f>
        <v>260</v>
      </c>
      <c r="P111">
        <f>F111/30*Food_DB!$C$4</f>
        <v>111</v>
      </c>
      <c r="Q111">
        <f>G111*Food_DB!$C$5</f>
        <v>222</v>
      </c>
      <c r="R111">
        <f>H111/100*Food_DB!$C$6</f>
        <v>12</v>
      </c>
      <c r="S111">
        <f>I111/100*Food_DB!$C$7</f>
        <v>62.5</v>
      </c>
      <c r="T111">
        <f>IFERROR(K111/100*VLOOKUP(J111,Food_DB!$A$2:$F$14,3,FALSE),0)</f>
        <v>450</v>
      </c>
      <c r="U111">
        <f>L111*Food_DB!$C$8</f>
        <v>270</v>
      </c>
      <c r="V111">
        <f t="shared" si="4"/>
        <v>0</v>
      </c>
      <c r="W111">
        <f t="shared" si="5"/>
        <v>1537.5</v>
      </c>
      <c r="X111">
        <f>D111*Food_DB!$D$2+E111/100*Food_DB!$D$3+F111/30*Food_DB!$D$4+G111*Food_DB!$D$5+H111/100*Food_DB!$D$6+I111/100*Food_DB!$D$7+IFERROR(K111/100*VLOOKUP(J111,Food_DB!$A$2:$F$14,4,FALSE),0)+L111*Food_DB!$D$8</f>
        <v>92.999999999999986</v>
      </c>
      <c r="Y111">
        <f>D111*Food_DB!$E$2+E111/100*Food_DB!$E$3+F111/30*Food_DB!$E$4+G111*Food_DB!$E$5+H111/100*Food_DB!$E$6+I111/100*Food_DB!$E$7+IFERROR(K111/100*VLOOKUP(J111,Food_DB!$A$2:$F$14,5,FALSE),0)+L111*Food_DB!$E$8</f>
        <v>51.1</v>
      </c>
      <c r="Z111">
        <f>D111*Food_DB!$F$2+E111/100*Food_DB!$F$3+F111/30*Food_DB!$F$4+G111*Food_DB!$F$5+H111/100*Food_DB!$F$6+I111/100*Food_DB!$F$7+IFERROR(K111/100*VLOOKUP(J111,Food_DB!$A$2:$F$14,6,FALSE),0)+L111*Food_DB!$F$8</f>
        <v>178.15</v>
      </c>
      <c r="AA111">
        <v>6.5</v>
      </c>
      <c r="AB111">
        <v>30</v>
      </c>
      <c r="AC111">
        <v>0</v>
      </c>
      <c r="AD111">
        <v>0</v>
      </c>
      <c r="AE111">
        <f>Dashboard!$B$6*AA111+Dashboard!$B$6*4*AB111/60+Dashboard!$B$6*8*AC111/120+Dashboard!$B$6*7*AD111</f>
        <v>680</v>
      </c>
      <c r="AF111">
        <f>Dashboard!$B$5</f>
        <v>1700</v>
      </c>
      <c r="AG111">
        <f t="shared" si="6"/>
        <v>2720</v>
      </c>
      <c r="AH111">
        <f t="shared" si="7"/>
        <v>-1182.5</v>
      </c>
    </row>
    <row r="112" spans="1:34">
      <c r="A112">
        <v>46288</v>
      </c>
      <c r="B112" t="s">
        <v>92</v>
      </c>
      <c r="C112" t="s">
        <v>89</v>
      </c>
      <c r="D112">
        <v>2</v>
      </c>
      <c r="E112">
        <v>400</v>
      </c>
      <c r="F112">
        <v>30</v>
      </c>
      <c r="G112">
        <v>1</v>
      </c>
      <c r="H112">
        <v>150</v>
      </c>
      <c r="I112">
        <v>250</v>
      </c>
      <c r="J112" t="s">
        <v>87</v>
      </c>
      <c r="K112">
        <v>250</v>
      </c>
      <c r="L112">
        <v>3</v>
      </c>
      <c r="M112">
        <v>0</v>
      </c>
      <c r="N112">
        <f>D112*Food_DB!$C$2</f>
        <v>150</v>
      </c>
      <c r="O112">
        <f>E112/100*Food_DB!$C$3</f>
        <v>260</v>
      </c>
      <c r="P112">
        <f>F112/30*Food_DB!$C$4</f>
        <v>111</v>
      </c>
      <c r="Q112">
        <f>G112*Food_DB!$C$5</f>
        <v>222</v>
      </c>
      <c r="R112">
        <f>H112/100*Food_DB!$C$6</f>
        <v>12</v>
      </c>
      <c r="S112">
        <f>I112/100*Food_DB!$C$7</f>
        <v>62.5</v>
      </c>
      <c r="T112">
        <f>IFERROR(K112/100*VLOOKUP(J112,Food_DB!$A$2:$F$14,3,FALSE),0)</f>
        <v>300</v>
      </c>
      <c r="U112">
        <f>L112*Food_DB!$C$8</f>
        <v>270</v>
      </c>
      <c r="V112">
        <f t="shared" si="4"/>
        <v>0</v>
      </c>
      <c r="W112">
        <f t="shared" si="5"/>
        <v>1387.5</v>
      </c>
      <c r="X112">
        <f>D112*Food_DB!$D$2+E112/100*Food_DB!$D$3+F112/30*Food_DB!$D$4+G112*Food_DB!$D$5+H112/100*Food_DB!$D$6+I112/100*Food_DB!$D$7+IFERROR(K112/100*VLOOKUP(J112,Food_DB!$A$2:$F$14,4,FALSE),0)+L112*Food_DB!$D$8</f>
        <v>100.49999999999999</v>
      </c>
      <c r="Y112">
        <f>D112*Food_DB!$E$2+E112/100*Food_DB!$E$3+F112/30*Food_DB!$E$4+G112*Food_DB!$E$5+H112/100*Food_DB!$E$6+I112/100*Food_DB!$E$7+IFERROR(K112/100*VLOOKUP(J112,Food_DB!$A$2:$F$14,5,FALSE),0)+L112*Food_DB!$E$8</f>
        <v>32.35</v>
      </c>
      <c r="Z112">
        <f>D112*Food_DB!$F$2+E112/100*Food_DB!$F$3+F112/30*Food_DB!$F$4+G112*Food_DB!$F$5+H112/100*Food_DB!$F$6+I112/100*Food_DB!$F$7+IFERROR(K112/100*VLOOKUP(J112,Food_DB!$A$2:$F$14,6,FALSE),0)+L112*Food_DB!$F$8</f>
        <v>178.15</v>
      </c>
      <c r="AA112">
        <v>6.5</v>
      </c>
      <c r="AB112">
        <v>30</v>
      </c>
      <c r="AC112">
        <v>0</v>
      </c>
      <c r="AD112">
        <v>0</v>
      </c>
      <c r="AE112">
        <f>Dashboard!$B$6*AA112+Dashboard!$B$6*4*AB112/60+Dashboard!$B$6*8*AC112/120+Dashboard!$B$6*7*AD112</f>
        <v>680</v>
      </c>
      <c r="AF112">
        <f>Dashboard!$B$5</f>
        <v>1700</v>
      </c>
      <c r="AG112">
        <f t="shared" si="6"/>
        <v>2720</v>
      </c>
      <c r="AH112">
        <f t="shared" si="7"/>
        <v>-1332.5</v>
      </c>
    </row>
    <row r="113" spans="1:34">
      <c r="A113">
        <v>46289</v>
      </c>
      <c r="B113" t="s">
        <v>93</v>
      </c>
      <c r="C113" t="s">
        <v>89</v>
      </c>
      <c r="D113">
        <v>2</v>
      </c>
      <c r="E113">
        <v>400</v>
      </c>
      <c r="F113">
        <v>30</v>
      </c>
      <c r="G113">
        <v>1</v>
      </c>
      <c r="H113">
        <v>150</v>
      </c>
      <c r="I113">
        <v>250</v>
      </c>
      <c r="J113" t="s">
        <v>90</v>
      </c>
      <c r="K113">
        <v>250</v>
      </c>
      <c r="L113">
        <v>3</v>
      </c>
      <c r="M113">
        <v>0</v>
      </c>
      <c r="N113">
        <f>D113*Food_DB!$C$2</f>
        <v>150</v>
      </c>
      <c r="O113">
        <f>E113/100*Food_DB!$C$3</f>
        <v>260</v>
      </c>
      <c r="P113">
        <f>F113/30*Food_DB!$C$4</f>
        <v>111</v>
      </c>
      <c r="Q113">
        <f>G113*Food_DB!$C$5</f>
        <v>222</v>
      </c>
      <c r="R113">
        <f>H113/100*Food_DB!$C$6</f>
        <v>12</v>
      </c>
      <c r="S113">
        <f>I113/100*Food_DB!$C$7</f>
        <v>62.5</v>
      </c>
      <c r="T113">
        <f>IFERROR(K113/100*VLOOKUP(J113,Food_DB!$A$2:$F$14,3,FALSE),0)</f>
        <v>575</v>
      </c>
      <c r="U113">
        <f>L113*Food_DB!$C$8</f>
        <v>270</v>
      </c>
      <c r="V113">
        <f t="shared" si="4"/>
        <v>0</v>
      </c>
      <c r="W113">
        <f t="shared" si="5"/>
        <v>1662.5</v>
      </c>
      <c r="X113">
        <f>D113*Food_DB!$D$2+E113/100*Food_DB!$D$3+F113/30*Food_DB!$D$4+G113*Food_DB!$D$5+H113/100*Food_DB!$D$6+I113/100*Food_DB!$D$7+IFERROR(K113/100*VLOOKUP(J113,Food_DB!$A$2:$F$14,4,FALSE),0)+L113*Food_DB!$D$8</f>
        <v>87.999999999999986</v>
      </c>
      <c r="Y113">
        <f>D113*Food_DB!$E$2+E113/100*Food_DB!$E$3+F113/30*Food_DB!$E$4+G113*Food_DB!$E$5+H113/100*Food_DB!$E$6+I113/100*Food_DB!$E$7+IFERROR(K113/100*VLOOKUP(J113,Food_DB!$A$2:$F$14,5,FALSE),0)+L113*Food_DB!$E$8</f>
        <v>68.599999999999994</v>
      </c>
      <c r="Z113">
        <f>D113*Food_DB!$F$2+E113/100*Food_DB!$F$3+F113/30*Food_DB!$F$4+G113*Food_DB!$F$5+H113/100*Food_DB!$F$6+I113/100*Food_DB!$F$7+IFERROR(K113/100*VLOOKUP(J113,Food_DB!$A$2:$F$14,6,FALSE),0)+L113*Food_DB!$F$8</f>
        <v>178.15</v>
      </c>
      <c r="AA113">
        <v>6.5</v>
      </c>
      <c r="AB113">
        <v>30</v>
      </c>
      <c r="AC113">
        <v>0</v>
      </c>
      <c r="AD113">
        <v>0</v>
      </c>
      <c r="AE113">
        <f>Dashboard!$B$6*AA113+Dashboard!$B$6*4*AB113/60+Dashboard!$B$6*8*AC113/120+Dashboard!$B$6*7*AD113</f>
        <v>680</v>
      </c>
      <c r="AF113">
        <f>Dashboard!$B$5</f>
        <v>1700</v>
      </c>
      <c r="AG113">
        <f t="shared" si="6"/>
        <v>2720</v>
      </c>
      <c r="AH113">
        <f t="shared" si="7"/>
        <v>-1057.5</v>
      </c>
    </row>
    <row r="114" spans="1:34">
      <c r="A114">
        <v>46290</v>
      </c>
      <c r="B114" t="s">
        <v>80</v>
      </c>
      <c r="C114" t="s">
        <v>81</v>
      </c>
      <c r="D114">
        <v>2</v>
      </c>
      <c r="E114">
        <v>400</v>
      </c>
      <c r="F114">
        <v>30</v>
      </c>
      <c r="G114">
        <v>1</v>
      </c>
      <c r="H114">
        <v>150</v>
      </c>
      <c r="I114">
        <v>250</v>
      </c>
      <c r="J114" t="s">
        <v>82</v>
      </c>
      <c r="K114">
        <v>250</v>
      </c>
      <c r="L114">
        <v>3</v>
      </c>
      <c r="M114">
        <v>1000</v>
      </c>
      <c r="N114">
        <f>D114*Food_DB!$C$2</f>
        <v>150</v>
      </c>
      <c r="O114">
        <f>E114/100*Food_DB!$C$3</f>
        <v>260</v>
      </c>
      <c r="P114">
        <f>F114/30*Food_DB!$C$4</f>
        <v>111</v>
      </c>
      <c r="Q114">
        <f>G114*Food_DB!$C$5</f>
        <v>222</v>
      </c>
      <c r="R114">
        <f>H114/100*Food_DB!$C$6</f>
        <v>12</v>
      </c>
      <c r="S114">
        <f>I114/100*Food_DB!$C$7</f>
        <v>62.5</v>
      </c>
      <c r="T114">
        <f>IFERROR(K114/100*VLOOKUP(J114,Food_DB!$A$2:$F$14,3,FALSE),0)</f>
        <v>550</v>
      </c>
      <c r="U114">
        <f>L114*Food_DB!$C$8</f>
        <v>270</v>
      </c>
      <c r="V114">
        <f t="shared" si="4"/>
        <v>1000</v>
      </c>
      <c r="W114">
        <f t="shared" si="5"/>
        <v>2637.5</v>
      </c>
      <c r="X114">
        <f>D114*Food_DB!$D$2+E114/100*Food_DB!$D$3+F114/30*Food_DB!$D$4+G114*Food_DB!$D$5+H114/100*Food_DB!$D$6+I114/100*Food_DB!$D$7+IFERROR(K114/100*VLOOKUP(J114,Food_DB!$A$2:$F$14,4,FALSE),0)+L114*Food_DB!$D$8</f>
        <v>92.999999999999986</v>
      </c>
      <c r="Y114">
        <f>D114*Food_DB!$E$2+E114/100*Food_DB!$E$3+F114/30*Food_DB!$E$4+G114*Food_DB!$E$5+H114/100*Food_DB!$E$6+I114/100*Food_DB!$E$7+IFERROR(K114/100*VLOOKUP(J114,Food_DB!$A$2:$F$14,5,FALSE),0)+L114*Food_DB!$E$8</f>
        <v>63.6</v>
      </c>
      <c r="Z114">
        <f>D114*Food_DB!$F$2+E114/100*Food_DB!$F$3+F114/30*Food_DB!$F$4+G114*Food_DB!$F$5+H114/100*Food_DB!$F$6+I114/100*Food_DB!$F$7+IFERROR(K114/100*VLOOKUP(J114,Food_DB!$A$2:$F$14,6,FALSE),0)+L114*Food_DB!$F$8</f>
        <v>178.15</v>
      </c>
      <c r="AA114">
        <v>6.5</v>
      </c>
      <c r="AB114">
        <v>30</v>
      </c>
      <c r="AC114">
        <v>0</v>
      </c>
      <c r="AD114">
        <v>0</v>
      </c>
      <c r="AE114">
        <f>Dashboard!$B$6*AA114+Dashboard!$B$6*4*AB114/60+Dashboard!$B$6*8*AC114/120+Dashboard!$B$6*7*AD114</f>
        <v>680</v>
      </c>
      <c r="AF114">
        <f>Dashboard!$B$5</f>
        <v>1700</v>
      </c>
      <c r="AG114">
        <f t="shared" si="6"/>
        <v>2720</v>
      </c>
      <c r="AH114">
        <f t="shared" si="7"/>
        <v>-82.5</v>
      </c>
    </row>
    <row r="115" spans="1:34">
      <c r="A115">
        <v>46291</v>
      </c>
      <c r="B115" t="s">
        <v>83</v>
      </c>
      <c r="C115" t="s">
        <v>84</v>
      </c>
      <c r="D115">
        <v>2</v>
      </c>
      <c r="E115">
        <v>400</v>
      </c>
      <c r="F115">
        <v>30</v>
      </c>
      <c r="G115">
        <v>1</v>
      </c>
      <c r="H115">
        <v>150</v>
      </c>
      <c r="I115">
        <v>250</v>
      </c>
      <c r="J115" t="s">
        <v>85</v>
      </c>
      <c r="K115">
        <v>250</v>
      </c>
      <c r="L115">
        <v>3</v>
      </c>
      <c r="M115">
        <v>0</v>
      </c>
      <c r="N115">
        <f>D115*Food_DB!$C$2</f>
        <v>150</v>
      </c>
      <c r="O115">
        <f>E115/100*Food_DB!$C$3</f>
        <v>260</v>
      </c>
      <c r="P115">
        <f>F115/30*Food_DB!$C$4</f>
        <v>111</v>
      </c>
      <c r="Q115">
        <f>G115*Food_DB!$C$5</f>
        <v>222</v>
      </c>
      <c r="R115">
        <f>H115/100*Food_DB!$C$6</f>
        <v>12</v>
      </c>
      <c r="S115">
        <f>I115/100*Food_DB!$C$7</f>
        <v>62.5</v>
      </c>
      <c r="T115">
        <f>IFERROR(K115/100*VLOOKUP(J115,Food_DB!$A$2:$F$14,3,FALSE),0)</f>
        <v>450</v>
      </c>
      <c r="U115">
        <f>L115*Food_DB!$C$8</f>
        <v>270</v>
      </c>
      <c r="V115">
        <f t="shared" si="4"/>
        <v>0</v>
      </c>
      <c r="W115">
        <f t="shared" si="5"/>
        <v>1537.5</v>
      </c>
      <c r="X115">
        <f>D115*Food_DB!$D$2+E115/100*Food_DB!$D$3+F115/30*Food_DB!$D$4+G115*Food_DB!$D$5+H115/100*Food_DB!$D$6+I115/100*Food_DB!$D$7+IFERROR(K115/100*VLOOKUP(J115,Food_DB!$A$2:$F$14,4,FALSE),0)+L115*Food_DB!$D$8</f>
        <v>92.999999999999986</v>
      </c>
      <c r="Y115">
        <f>D115*Food_DB!$E$2+E115/100*Food_DB!$E$3+F115/30*Food_DB!$E$4+G115*Food_DB!$E$5+H115/100*Food_DB!$E$6+I115/100*Food_DB!$E$7+IFERROR(K115/100*VLOOKUP(J115,Food_DB!$A$2:$F$14,5,FALSE),0)+L115*Food_DB!$E$8</f>
        <v>51.1</v>
      </c>
      <c r="Z115">
        <f>D115*Food_DB!$F$2+E115/100*Food_DB!$F$3+F115/30*Food_DB!$F$4+G115*Food_DB!$F$5+H115/100*Food_DB!$F$6+I115/100*Food_DB!$F$7+IFERROR(K115/100*VLOOKUP(J115,Food_DB!$A$2:$F$14,6,FALSE),0)+L115*Food_DB!$F$8</f>
        <v>178.15</v>
      </c>
      <c r="AA115">
        <v>0</v>
      </c>
      <c r="AB115">
        <v>0</v>
      </c>
      <c r="AC115">
        <v>0</v>
      </c>
      <c r="AD115">
        <v>3.5</v>
      </c>
      <c r="AE115">
        <f>Dashboard!$B$6*AA115+Dashboard!$B$6*4*AB115/60+Dashboard!$B$6*8*AC115/120+Dashboard!$B$6*7*AD115</f>
        <v>1960</v>
      </c>
      <c r="AF115">
        <f>Dashboard!$B$5</f>
        <v>1700</v>
      </c>
      <c r="AG115">
        <f t="shared" si="6"/>
        <v>4000</v>
      </c>
      <c r="AH115">
        <f t="shared" si="7"/>
        <v>-2462.5</v>
      </c>
    </row>
    <row r="116" spans="1:34">
      <c r="A116">
        <v>46292</v>
      </c>
      <c r="B116" t="s">
        <v>86</v>
      </c>
      <c r="C116" t="s">
        <v>84</v>
      </c>
      <c r="D116">
        <v>2</v>
      </c>
      <c r="E116">
        <v>400</v>
      </c>
      <c r="F116">
        <v>30</v>
      </c>
      <c r="G116">
        <v>1</v>
      </c>
      <c r="H116">
        <v>150</v>
      </c>
      <c r="I116">
        <v>250</v>
      </c>
      <c r="J116" t="s">
        <v>87</v>
      </c>
      <c r="K116">
        <v>250</v>
      </c>
      <c r="L116">
        <v>3</v>
      </c>
      <c r="M116">
        <v>0</v>
      </c>
      <c r="N116">
        <f>D116*Food_DB!$C$2</f>
        <v>150</v>
      </c>
      <c r="O116">
        <f>E116/100*Food_DB!$C$3</f>
        <v>260</v>
      </c>
      <c r="P116">
        <f>F116/30*Food_DB!$C$4</f>
        <v>111</v>
      </c>
      <c r="Q116">
        <f>G116*Food_DB!$C$5</f>
        <v>222</v>
      </c>
      <c r="R116">
        <f>H116/100*Food_DB!$C$6</f>
        <v>12</v>
      </c>
      <c r="S116">
        <f>I116/100*Food_DB!$C$7</f>
        <v>62.5</v>
      </c>
      <c r="T116">
        <f>IFERROR(K116/100*VLOOKUP(J116,Food_DB!$A$2:$F$14,3,FALSE),0)</f>
        <v>300</v>
      </c>
      <c r="U116">
        <f>L116*Food_DB!$C$8</f>
        <v>270</v>
      </c>
      <c r="V116">
        <f t="shared" si="4"/>
        <v>0</v>
      </c>
      <c r="W116">
        <f t="shared" si="5"/>
        <v>1387.5</v>
      </c>
      <c r="X116">
        <f>D116*Food_DB!$D$2+E116/100*Food_DB!$D$3+F116/30*Food_DB!$D$4+G116*Food_DB!$D$5+H116/100*Food_DB!$D$6+I116/100*Food_DB!$D$7+IFERROR(K116/100*VLOOKUP(J116,Food_DB!$A$2:$F$14,4,FALSE),0)+L116*Food_DB!$D$8</f>
        <v>100.49999999999999</v>
      </c>
      <c r="Y116">
        <f>D116*Food_DB!$E$2+E116/100*Food_DB!$E$3+F116/30*Food_DB!$E$4+G116*Food_DB!$E$5+H116/100*Food_DB!$E$6+I116/100*Food_DB!$E$7+IFERROR(K116/100*VLOOKUP(J116,Food_DB!$A$2:$F$14,5,FALSE),0)+L116*Food_DB!$E$8</f>
        <v>32.35</v>
      </c>
      <c r="Z116">
        <f>D116*Food_DB!$F$2+E116/100*Food_DB!$F$3+F116/30*Food_DB!$F$4+G116*Food_DB!$F$5+H116/100*Food_DB!$F$6+I116/100*Food_DB!$F$7+IFERROR(K116/100*VLOOKUP(J116,Food_DB!$A$2:$F$14,6,FALSE),0)+L116*Food_DB!$F$8</f>
        <v>178.15</v>
      </c>
      <c r="AA116">
        <v>0</v>
      </c>
      <c r="AB116">
        <v>0</v>
      </c>
      <c r="AC116">
        <v>0</v>
      </c>
      <c r="AD116">
        <v>3.5</v>
      </c>
      <c r="AE116">
        <f>Dashboard!$B$6*AA116+Dashboard!$B$6*4*AB116/60+Dashboard!$B$6*8*AC116/120+Dashboard!$B$6*7*AD116</f>
        <v>1960</v>
      </c>
      <c r="AF116">
        <f>Dashboard!$B$5</f>
        <v>1700</v>
      </c>
      <c r="AG116">
        <f t="shared" si="6"/>
        <v>4000</v>
      </c>
      <c r="AH116">
        <f t="shared" si="7"/>
        <v>-2612.5</v>
      </c>
    </row>
    <row r="117" spans="1:34">
      <c r="A117">
        <v>46293</v>
      </c>
      <c r="B117" t="s">
        <v>88</v>
      </c>
      <c r="C117" t="s">
        <v>89</v>
      </c>
      <c r="D117">
        <v>2</v>
      </c>
      <c r="E117">
        <v>400</v>
      </c>
      <c r="F117">
        <v>30</v>
      </c>
      <c r="G117">
        <v>1</v>
      </c>
      <c r="H117">
        <v>150</v>
      </c>
      <c r="I117">
        <v>250</v>
      </c>
      <c r="J117" t="s">
        <v>90</v>
      </c>
      <c r="K117">
        <v>250</v>
      </c>
      <c r="L117">
        <v>3</v>
      </c>
      <c r="M117">
        <v>0</v>
      </c>
      <c r="N117">
        <f>D117*Food_DB!$C$2</f>
        <v>150</v>
      </c>
      <c r="O117">
        <f>E117/100*Food_DB!$C$3</f>
        <v>260</v>
      </c>
      <c r="P117">
        <f>F117/30*Food_DB!$C$4</f>
        <v>111</v>
      </c>
      <c r="Q117">
        <f>G117*Food_DB!$C$5</f>
        <v>222</v>
      </c>
      <c r="R117">
        <f>H117/100*Food_DB!$C$6</f>
        <v>12</v>
      </c>
      <c r="S117">
        <f>I117/100*Food_DB!$C$7</f>
        <v>62.5</v>
      </c>
      <c r="T117">
        <f>IFERROR(K117/100*VLOOKUP(J117,Food_DB!$A$2:$F$14,3,FALSE),0)</f>
        <v>575</v>
      </c>
      <c r="U117">
        <f>L117*Food_DB!$C$8</f>
        <v>270</v>
      </c>
      <c r="V117">
        <f t="shared" si="4"/>
        <v>0</v>
      </c>
      <c r="W117">
        <f t="shared" si="5"/>
        <v>1662.5</v>
      </c>
      <c r="X117">
        <f>D117*Food_DB!$D$2+E117/100*Food_DB!$D$3+F117/30*Food_DB!$D$4+G117*Food_DB!$D$5+H117/100*Food_DB!$D$6+I117/100*Food_DB!$D$7+IFERROR(K117/100*VLOOKUP(J117,Food_DB!$A$2:$F$14,4,FALSE),0)+L117*Food_DB!$D$8</f>
        <v>87.999999999999986</v>
      </c>
      <c r="Y117">
        <f>D117*Food_DB!$E$2+E117/100*Food_DB!$E$3+F117/30*Food_DB!$E$4+G117*Food_DB!$E$5+H117/100*Food_DB!$E$6+I117/100*Food_DB!$E$7+IFERROR(K117/100*VLOOKUP(J117,Food_DB!$A$2:$F$14,5,FALSE),0)+L117*Food_DB!$E$8</f>
        <v>68.599999999999994</v>
      </c>
      <c r="Z117">
        <f>D117*Food_DB!$F$2+E117/100*Food_DB!$F$3+F117/30*Food_DB!$F$4+G117*Food_DB!$F$5+H117/100*Food_DB!$F$6+I117/100*Food_DB!$F$7+IFERROR(K117/100*VLOOKUP(J117,Food_DB!$A$2:$F$14,6,FALSE),0)+L117*Food_DB!$F$8</f>
        <v>178.15</v>
      </c>
      <c r="AA117">
        <v>6.5</v>
      </c>
      <c r="AB117">
        <v>30</v>
      </c>
      <c r="AC117">
        <v>0</v>
      </c>
      <c r="AD117">
        <v>0</v>
      </c>
      <c r="AE117">
        <f>Dashboard!$B$6*AA117+Dashboard!$B$6*4*AB117/60+Dashboard!$B$6*8*AC117/120+Dashboard!$B$6*7*AD117</f>
        <v>680</v>
      </c>
      <c r="AF117">
        <f>Dashboard!$B$5</f>
        <v>1700</v>
      </c>
      <c r="AG117">
        <f t="shared" si="6"/>
        <v>2720</v>
      </c>
      <c r="AH117">
        <f t="shared" si="7"/>
        <v>-1057.5</v>
      </c>
    </row>
    <row r="118" spans="1:34">
      <c r="A118">
        <v>46294</v>
      </c>
      <c r="B118" t="s">
        <v>91</v>
      </c>
      <c r="C118" t="s">
        <v>89</v>
      </c>
      <c r="D118">
        <v>2</v>
      </c>
      <c r="E118">
        <v>400</v>
      </c>
      <c r="F118">
        <v>30</v>
      </c>
      <c r="G118">
        <v>1</v>
      </c>
      <c r="H118">
        <v>150</v>
      </c>
      <c r="I118">
        <v>250</v>
      </c>
      <c r="J118" t="s">
        <v>82</v>
      </c>
      <c r="K118">
        <v>250</v>
      </c>
      <c r="L118">
        <v>3</v>
      </c>
      <c r="M118">
        <v>0</v>
      </c>
      <c r="N118">
        <f>D118*Food_DB!$C$2</f>
        <v>150</v>
      </c>
      <c r="O118">
        <f>E118/100*Food_DB!$C$3</f>
        <v>260</v>
      </c>
      <c r="P118">
        <f>F118/30*Food_DB!$C$4</f>
        <v>111</v>
      </c>
      <c r="Q118">
        <f>G118*Food_DB!$C$5</f>
        <v>222</v>
      </c>
      <c r="R118">
        <f>H118/100*Food_DB!$C$6</f>
        <v>12</v>
      </c>
      <c r="S118">
        <f>I118/100*Food_DB!$C$7</f>
        <v>62.5</v>
      </c>
      <c r="T118">
        <f>IFERROR(K118/100*VLOOKUP(J118,Food_DB!$A$2:$F$14,3,FALSE),0)</f>
        <v>550</v>
      </c>
      <c r="U118">
        <f>L118*Food_DB!$C$8</f>
        <v>270</v>
      </c>
      <c r="V118">
        <f t="shared" si="4"/>
        <v>0</v>
      </c>
      <c r="W118">
        <f t="shared" si="5"/>
        <v>1637.5</v>
      </c>
      <c r="X118">
        <f>D118*Food_DB!$D$2+E118/100*Food_DB!$D$3+F118/30*Food_DB!$D$4+G118*Food_DB!$D$5+H118/100*Food_DB!$D$6+I118/100*Food_DB!$D$7+IFERROR(K118/100*VLOOKUP(J118,Food_DB!$A$2:$F$14,4,FALSE),0)+L118*Food_DB!$D$8</f>
        <v>92.999999999999986</v>
      </c>
      <c r="Y118">
        <f>D118*Food_DB!$E$2+E118/100*Food_DB!$E$3+F118/30*Food_DB!$E$4+G118*Food_DB!$E$5+H118/100*Food_DB!$E$6+I118/100*Food_DB!$E$7+IFERROR(K118/100*VLOOKUP(J118,Food_DB!$A$2:$F$14,5,FALSE),0)+L118*Food_DB!$E$8</f>
        <v>63.6</v>
      </c>
      <c r="Z118">
        <f>D118*Food_DB!$F$2+E118/100*Food_DB!$F$3+F118/30*Food_DB!$F$4+G118*Food_DB!$F$5+H118/100*Food_DB!$F$6+I118/100*Food_DB!$F$7+IFERROR(K118/100*VLOOKUP(J118,Food_DB!$A$2:$F$14,6,FALSE),0)+L118*Food_DB!$F$8</f>
        <v>178.15</v>
      </c>
      <c r="AA118">
        <v>6.5</v>
      </c>
      <c r="AB118">
        <v>30</v>
      </c>
      <c r="AC118">
        <v>0</v>
      </c>
      <c r="AD118">
        <v>0</v>
      </c>
      <c r="AE118">
        <f>Dashboard!$B$6*AA118+Dashboard!$B$6*4*AB118/60+Dashboard!$B$6*8*AC118/120+Dashboard!$B$6*7*AD118</f>
        <v>680</v>
      </c>
      <c r="AF118">
        <f>Dashboard!$B$5</f>
        <v>1700</v>
      </c>
      <c r="AG118">
        <f t="shared" si="6"/>
        <v>2720</v>
      </c>
      <c r="AH118">
        <f t="shared" si="7"/>
        <v>-1082.5</v>
      </c>
    </row>
    <row r="119" spans="1:34">
      <c r="A119">
        <v>46295</v>
      </c>
      <c r="B119" t="s">
        <v>92</v>
      </c>
      <c r="C119" t="s">
        <v>89</v>
      </c>
      <c r="D119">
        <v>2</v>
      </c>
      <c r="E119">
        <v>400</v>
      </c>
      <c r="F119">
        <v>30</v>
      </c>
      <c r="G119">
        <v>1</v>
      </c>
      <c r="H119">
        <v>150</v>
      </c>
      <c r="I119">
        <v>250</v>
      </c>
      <c r="J119" t="s">
        <v>85</v>
      </c>
      <c r="K119">
        <v>250</v>
      </c>
      <c r="L119">
        <v>3</v>
      </c>
      <c r="M119">
        <v>0</v>
      </c>
      <c r="N119">
        <f>D119*Food_DB!$C$2</f>
        <v>150</v>
      </c>
      <c r="O119">
        <f>E119/100*Food_DB!$C$3</f>
        <v>260</v>
      </c>
      <c r="P119">
        <f>F119/30*Food_DB!$C$4</f>
        <v>111</v>
      </c>
      <c r="Q119">
        <f>G119*Food_DB!$C$5</f>
        <v>222</v>
      </c>
      <c r="R119">
        <f>H119/100*Food_DB!$C$6</f>
        <v>12</v>
      </c>
      <c r="S119">
        <f>I119/100*Food_DB!$C$7</f>
        <v>62.5</v>
      </c>
      <c r="T119">
        <f>IFERROR(K119/100*VLOOKUP(J119,Food_DB!$A$2:$F$14,3,FALSE),0)</f>
        <v>450</v>
      </c>
      <c r="U119">
        <f>L119*Food_DB!$C$8</f>
        <v>270</v>
      </c>
      <c r="V119">
        <f t="shared" si="4"/>
        <v>0</v>
      </c>
      <c r="W119">
        <f t="shared" si="5"/>
        <v>1537.5</v>
      </c>
      <c r="X119">
        <f>D119*Food_DB!$D$2+E119/100*Food_DB!$D$3+F119/30*Food_DB!$D$4+G119*Food_DB!$D$5+H119/100*Food_DB!$D$6+I119/100*Food_DB!$D$7+IFERROR(K119/100*VLOOKUP(J119,Food_DB!$A$2:$F$14,4,FALSE),0)+L119*Food_DB!$D$8</f>
        <v>92.999999999999986</v>
      </c>
      <c r="Y119">
        <f>D119*Food_DB!$E$2+E119/100*Food_DB!$E$3+F119/30*Food_DB!$E$4+G119*Food_DB!$E$5+H119/100*Food_DB!$E$6+I119/100*Food_DB!$E$7+IFERROR(K119/100*VLOOKUP(J119,Food_DB!$A$2:$F$14,5,FALSE),0)+L119*Food_DB!$E$8</f>
        <v>51.1</v>
      </c>
      <c r="Z119">
        <f>D119*Food_DB!$F$2+E119/100*Food_DB!$F$3+F119/30*Food_DB!$F$4+G119*Food_DB!$F$5+H119/100*Food_DB!$F$6+I119/100*Food_DB!$F$7+IFERROR(K119/100*VLOOKUP(J119,Food_DB!$A$2:$F$14,6,FALSE),0)+L119*Food_DB!$F$8</f>
        <v>178.15</v>
      </c>
      <c r="AA119">
        <v>6.5</v>
      </c>
      <c r="AB119">
        <v>30</v>
      </c>
      <c r="AC119">
        <v>0</v>
      </c>
      <c r="AD119">
        <v>0</v>
      </c>
      <c r="AE119">
        <f>Dashboard!$B$6*AA119+Dashboard!$B$6*4*AB119/60+Dashboard!$B$6*8*AC119/120+Dashboard!$B$6*7*AD119</f>
        <v>680</v>
      </c>
      <c r="AF119">
        <f>Dashboard!$B$5</f>
        <v>1700</v>
      </c>
      <c r="AG119">
        <f t="shared" si="6"/>
        <v>2720</v>
      </c>
      <c r="AH119">
        <f t="shared" si="7"/>
        <v>-1182.5</v>
      </c>
    </row>
    <row r="120" spans="1:34">
      <c r="A120">
        <v>46296</v>
      </c>
      <c r="B120" t="s">
        <v>93</v>
      </c>
      <c r="C120" t="s">
        <v>89</v>
      </c>
      <c r="D120">
        <v>2</v>
      </c>
      <c r="E120">
        <v>400</v>
      </c>
      <c r="F120">
        <v>30</v>
      </c>
      <c r="G120">
        <v>1</v>
      </c>
      <c r="H120">
        <v>150</v>
      </c>
      <c r="I120">
        <v>250</v>
      </c>
      <c r="J120" t="s">
        <v>87</v>
      </c>
      <c r="K120">
        <v>250</v>
      </c>
      <c r="L120">
        <v>3</v>
      </c>
      <c r="M120">
        <v>0</v>
      </c>
      <c r="N120">
        <f>D120*Food_DB!$C$2</f>
        <v>150</v>
      </c>
      <c r="O120">
        <f>E120/100*Food_DB!$C$3</f>
        <v>260</v>
      </c>
      <c r="P120">
        <f>F120/30*Food_DB!$C$4</f>
        <v>111</v>
      </c>
      <c r="Q120">
        <f>G120*Food_DB!$C$5</f>
        <v>222</v>
      </c>
      <c r="R120">
        <f>H120/100*Food_DB!$C$6</f>
        <v>12</v>
      </c>
      <c r="S120">
        <f>I120/100*Food_DB!$C$7</f>
        <v>62.5</v>
      </c>
      <c r="T120">
        <f>IFERROR(K120/100*VLOOKUP(J120,Food_DB!$A$2:$F$14,3,FALSE),0)</f>
        <v>300</v>
      </c>
      <c r="U120">
        <f>L120*Food_DB!$C$8</f>
        <v>270</v>
      </c>
      <c r="V120">
        <f t="shared" si="4"/>
        <v>0</v>
      </c>
      <c r="W120">
        <f t="shared" si="5"/>
        <v>1387.5</v>
      </c>
      <c r="X120">
        <f>D120*Food_DB!$D$2+E120/100*Food_DB!$D$3+F120/30*Food_DB!$D$4+G120*Food_DB!$D$5+H120/100*Food_DB!$D$6+I120/100*Food_DB!$D$7+IFERROR(K120/100*VLOOKUP(J120,Food_DB!$A$2:$F$14,4,FALSE),0)+L120*Food_DB!$D$8</f>
        <v>100.49999999999999</v>
      </c>
      <c r="Y120">
        <f>D120*Food_DB!$E$2+E120/100*Food_DB!$E$3+F120/30*Food_DB!$E$4+G120*Food_DB!$E$5+H120/100*Food_DB!$E$6+I120/100*Food_DB!$E$7+IFERROR(K120/100*VLOOKUP(J120,Food_DB!$A$2:$F$14,5,FALSE),0)+L120*Food_DB!$E$8</f>
        <v>32.35</v>
      </c>
      <c r="Z120">
        <f>D120*Food_DB!$F$2+E120/100*Food_DB!$F$3+F120/30*Food_DB!$F$4+G120*Food_DB!$F$5+H120/100*Food_DB!$F$6+I120/100*Food_DB!$F$7+IFERROR(K120/100*VLOOKUP(J120,Food_DB!$A$2:$F$14,6,FALSE),0)+L120*Food_DB!$F$8</f>
        <v>178.15</v>
      </c>
      <c r="AA120">
        <v>6.5</v>
      </c>
      <c r="AB120">
        <v>30</v>
      </c>
      <c r="AC120">
        <v>0</v>
      </c>
      <c r="AD120">
        <v>0</v>
      </c>
      <c r="AE120">
        <f>Dashboard!$B$6*AA120+Dashboard!$B$6*4*AB120/60+Dashboard!$B$6*8*AC120/120+Dashboard!$B$6*7*AD120</f>
        <v>680</v>
      </c>
      <c r="AF120">
        <f>Dashboard!$B$5</f>
        <v>1700</v>
      </c>
      <c r="AG120">
        <f t="shared" si="6"/>
        <v>2720</v>
      </c>
      <c r="AH120">
        <f t="shared" si="7"/>
        <v>-1332.5</v>
      </c>
    </row>
    <row r="121" spans="1:34">
      <c r="A121">
        <v>46297</v>
      </c>
      <c r="B121" t="s">
        <v>80</v>
      </c>
      <c r="C121" t="s">
        <v>81</v>
      </c>
      <c r="D121">
        <v>2</v>
      </c>
      <c r="E121">
        <v>400</v>
      </c>
      <c r="F121">
        <v>30</v>
      </c>
      <c r="G121">
        <v>1</v>
      </c>
      <c r="H121">
        <v>150</v>
      </c>
      <c r="I121">
        <v>250</v>
      </c>
      <c r="J121" t="s">
        <v>90</v>
      </c>
      <c r="K121">
        <v>250</v>
      </c>
      <c r="L121">
        <v>3</v>
      </c>
      <c r="M121">
        <v>1000</v>
      </c>
      <c r="N121">
        <f>D121*Food_DB!$C$2</f>
        <v>150</v>
      </c>
      <c r="O121">
        <f>E121/100*Food_DB!$C$3</f>
        <v>260</v>
      </c>
      <c r="P121">
        <f>F121/30*Food_DB!$C$4</f>
        <v>111</v>
      </c>
      <c r="Q121">
        <f>G121*Food_DB!$C$5</f>
        <v>222</v>
      </c>
      <c r="R121">
        <f>H121/100*Food_DB!$C$6</f>
        <v>12</v>
      </c>
      <c r="S121">
        <f>I121/100*Food_DB!$C$7</f>
        <v>62.5</v>
      </c>
      <c r="T121">
        <f>IFERROR(K121/100*VLOOKUP(J121,Food_DB!$A$2:$F$14,3,FALSE),0)</f>
        <v>575</v>
      </c>
      <c r="U121">
        <f>L121*Food_DB!$C$8</f>
        <v>270</v>
      </c>
      <c r="V121">
        <f t="shared" si="4"/>
        <v>1000</v>
      </c>
      <c r="W121">
        <f t="shared" si="5"/>
        <v>2662.5</v>
      </c>
      <c r="X121">
        <f>D121*Food_DB!$D$2+E121/100*Food_DB!$D$3+F121/30*Food_DB!$D$4+G121*Food_DB!$D$5+H121/100*Food_DB!$D$6+I121/100*Food_DB!$D$7+IFERROR(K121/100*VLOOKUP(J121,Food_DB!$A$2:$F$14,4,FALSE),0)+L121*Food_DB!$D$8</f>
        <v>87.999999999999986</v>
      </c>
      <c r="Y121">
        <f>D121*Food_DB!$E$2+E121/100*Food_DB!$E$3+F121/30*Food_DB!$E$4+G121*Food_DB!$E$5+H121/100*Food_DB!$E$6+I121/100*Food_DB!$E$7+IFERROR(K121/100*VLOOKUP(J121,Food_DB!$A$2:$F$14,5,FALSE),0)+L121*Food_DB!$E$8</f>
        <v>68.599999999999994</v>
      </c>
      <c r="Z121">
        <f>D121*Food_DB!$F$2+E121/100*Food_DB!$F$3+F121/30*Food_DB!$F$4+G121*Food_DB!$F$5+H121/100*Food_DB!$F$6+I121/100*Food_DB!$F$7+IFERROR(K121/100*VLOOKUP(J121,Food_DB!$A$2:$F$14,6,FALSE),0)+L121*Food_DB!$F$8</f>
        <v>178.15</v>
      </c>
      <c r="AA121">
        <v>6.5</v>
      </c>
      <c r="AB121">
        <v>30</v>
      </c>
      <c r="AC121">
        <v>0</v>
      </c>
      <c r="AD121">
        <v>0</v>
      </c>
      <c r="AE121">
        <f>Dashboard!$B$6*AA121+Dashboard!$B$6*4*AB121/60+Dashboard!$B$6*8*AC121/120+Dashboard!$B$6*7*AD121</f>
        <v>680</v>
      </c>
      <c r="AF121">
        <f>Dashboard!$B$5</f>
        <v>1700</v>
      </c>
      <c r="AG121">
        <f t="shared" si="6"/>
        <v>2720</v>
      </c>
      <c r="AH121">
        <f t="shared" si="7"/>
        <v>-57.5</v>
      </c>
    </row>
    <row r="122" spans="1:34">
      <c r="A122">
        <v>46298</v>
      </c>
      <c r="B122" t="s">
        <v>83</v>
      </c>
      <c r="C122" t="s">
        <v>84</v>
      </c>
      <c r="D122">
        <v>2</v>
      </c>
      <c r="E122">
        <v>400</v>
      </c>
      <c r="F122">
        <v>30</v>
      </c>
      <c r="G122">
        <v>1</v>
      </c>
      <c r="H122">
        <v>150</v>
      </c>
      <c r="I122">
        <v>250</v>
      </c>
      <c r="J122" t="s">
        <v>82</v>
      </c>
      <c r="K122">
        <v>250</v>
      </c>
      <c r="L122">
        <v>3</v>
      </c>
      <c r="M122">
        <v>0</v>
      </c>
      <c r="N122">
        <f>D122*Food_DB!$C$2</f>
        <v>150</v>
      </c>
      <c r="O122">
        <f>E122/100*Food_DB!$C$3</f>
        <v>260</v>
      </c>
      <c r="P122">
        <f>F122/30*Food_DB!$C$4</f>
        <v>111</v>
      </c>
      <c r="Q122">
        <f>G122*Food_DB!$C$5</f>
        <v>222</v>
      </c>
      <c r="R122">
        <f>H122/100*Food_DB!$C$6</f>
        <v>12</v>
      </c>
      <c r="S122">
        <f>I122/100*Food_DB!$C$7</f>
        <v>62.5</v>
      </c>
      <c r="T122">
        <f>IFERROR(K122/100*VLOOKUP(J122,Food_DB!$A$2:$F$14,3,FALSE),0)</f>
        <v>550</v>
      </c>
      <c r="U122">
        <f>L122*Food_DB!$C$8</f>
        <v>270</v>
      </c>
      <c r="V122">
        <f t="shared" si="4"/>
        <v>0</v>
      </c>
      <c r="W122">
        <f t="shared" si="5"/>
        <v>1637.5</v>
      </c>
      <c r="X122">
        <f>D122*Food_DB!$D$2+E122/100*Food_DB!$D$3+F122/30*Food_DB!$D$4+G122*Food_DB!$D$5+H122/100*Food_DB!$D$6+I122/100*Food_DB!$D$7+IFERROR(K122/100*VLOOKUP(J122,Food_DB!$A$2:$F$14,4,FALSE),0)+L122*Food_DB!$D$8</f>
        <v>92.999999999999986</v>
      </c>
      <c r="Y122">
        <f>D122*Food_DB!$E$2+E122/100*Food_DB!$E$3+F122/30*Food_DB!$E$4+G122*Food_DB!$E$5+H122/100*Food_DB!$E$6+I122/100*Food_DB!$E$7+IFERROR(K122/100*VLOOKUP(J122,Food_DB!$A$2:$F$14,5,FALSE),0)+L122*Food_DB!$E$8</f>
        <v>63.6</v>
      </c>
      <c r="Z122">
        <f>D122*Food_DB!$F$2+E122/100*Food_DB!$F$3+F122/30*Food_DB!$F$4+G122*Food_DB!$F$5+H122/100*Food_DB!$F$6+I122/100*Food_DB!$F$7+IFERROR(K122/100*VLOOKUP(J122,Food_DB!$A$2:$F$14,6,FALSE),0)+L122*Food_DB!$F$8</f>
        <v>178.15</v>
      </c>
      <c r="AA122">
        <v>0</v>
      </c>
      <c r="AB122">
        <v>0</v>
      </c>
      <c r="AC122">
        <v>0</v>
      </c>
      <c r="AD122">
        <v>3.5</v>
      </c>
      <c r="AE122">
        <f>Dashboard!$B$6*AA122+Dashboard!$B$6*4*AB122/60+Dashboard!$B$6*8*AC122/120+Dashboard!$B$6*7*AD122</f>
        <v>1960</v>
      </c>
      <c r="AF122">
        <f>Dashboard!$B$5</f>
        <v>1700</v>
      </c>
      <c r="AG122">
        <f t="shared" si="6"/>
        <v>4000</v>
      </c>
      <c r="AH122">
        <f t="shared" si="7"/>
        <v>-2362.5</v>
      </c>
    </row>
    <row r="123" spans="1:34">
      <c r="A123">
        <v>46299</v>
      </c>
      <c r="B123" t="s">
        <v>86</v>
      </c>
      <c r="C123" t="s">
        <v>84</v>
      </c>
      <c r="D123">
        <v>2</v>
      </c>
      <c r="E123">
        <v>400</v>
      </c>
      <c r="F123">
        <v>30</v>
      </c>
      <c r="G123">
        <v>1</v>
      </c>
      <c r="H123">
        <v>150</v>
      </c>
      <c r="I123">
        <v>250</v>
      </c>
      <c r="J123" t="s">
        <v>85</v>
      </c>
      <c r="K123">
        <v>250</v>
      </c>
      <c r="L123">
        <v>3</v>
      </c>
      <c r="M123">
        <v>0</v>
      </c>
      <c r="N123">
        <f>D123*Food_DB!$C$2</f>
        <v>150</v>
      </c>
      <c r="O123">
        <f>E123/100*Food_DB!$C$3</f>
        <v>260</v>
      </c>
      <c r="P123">
        <f>F123/30*Food_DB!$C$4</f>
        <v>111</v>
      </c>
      <c r="Q123">
        <f>G123*Food_DB!$C$5</f>
        <v>222</v>
      </c>
      <c r="R123">
        <f>H123/100*Food_DB!$C$6</f>
        <v>12</v>
      </c>
      <c r="S123">
        <f>I123/100*Food_DB!$C$7</f>
        <v>62.5</v>
      </c>
      <c r="T123">
        <f>IFERROR(K123/100*VLOOKUP(J123,Food_DB!$A$2:$F$14,3,FALSE),0)</f>
        <v>450</v>
      </c>
      <c r="U123">
        <f>L123*Food_DB!$C$8</f>
        <v>270</v>
      </c>
      <c r="V123">
        <f t="shared" si="4"/>
        <v>0</v>
      </c>
      <c r="W123">
        <f t="shared" si="5"/>
        <v>1537.5</v>
      </c>
      <c r="X123">
        <f>D123*Food_DB!$D$2+E123/100*Food_DB!$D$3+F123/30*Food_DB!$D$4+G123*Food_DB!$D$5+H123/100*Food_DB!$D$6+I123/100*Food_DB!$D$7+IFERROR(K123/100*VLOOKUP(J123,Food_DB!$A$2:$F$14,4,FALSE),0)+L123*Food_DB!$D$8</f>
        <v>92.999999999999986</v>
      </c>
      <c r="Y123">
        <f>D123*Food_DB!$E$2+E123/100*Food_DB!$E$3+F123/30*Food_DB!$E$4+G123*Food_DB!$E$5+H123/100*Food_DB!$E$6+I123/100*Food_DB!$E$7+IFERROR(K123/100*VLOOKUP(J123,Food_DB!$A$2:$F$14,5,FALSE),0)+L123*Food_DB!$E$8</f>
        <v>51.1</v>
      </c>
      <c r="Z123">
        <f>D123*Food_DB!$F$2+E123/100*Food_DB!$F$3+F123/30*Food_DB!$F$4+G123*Food_DB!$F$5+H123/100*Food_DB!$F$6+I123/100*Food_DB!$F$7+IFERROR(K123/100*VLOOKUP(J123,Food_DB!$A$2:$F$14,6,FALSE),0)+L123*Food_DB!$F$8</f>
        <v>178.15</v>
      </c>
      <c r="AA123">
        <v>0</v>
      </c>
      <c r="AB123">
        <v>0</v>
      </c>
      <c r="AC123">
        <v>0</v>
      </c>
      <c r="AD123">
        <v>3.5</v>
      </c>
      <c r="AE123">
        <f>Dashboard!$B$6*AA123+Dashboard!$B$6*4*AB123/60+Dashboard!$B$6*8*AC123/120+Dashboard!$B$6*7*AD123</f>
        <v>1960</v>
      </c>
      <c r="AF123">
        <f>Dashboard!$B$5</f>
        <v>1700</v>
      </c>
      <c r="AG123">
        <f t="shared" si="6"/>
        <v>4000</v>
      </c>
      <c r="AH123">
        <f t="shared" si="7"/>
        <v>-2462.5</v>
      </c>
    </row>
    <row r="124" spans="1:34">
      <c r="A124">
        <v>46300</v>
      </c>
      <c r="B124" t="s">
        <v>88</v>
      </c>
      <c r="C124" t="s">
        <v>89</v>
      </c>
      <c r="D124">
        <v>2</v>
      </c>
      <c r="E124">
        <v>400</v>
      </c>
      <c r="F124">
        <v>30</v>
      </c>
      <c r="G124">
        <v>1</v>
      </c>
      <c r="H124">
        <v>150</v>
      </c>
      <c r="I124">
        <v>250</v>
      </c>
      <c r="J124" t="s">
        <v>87</v>
      </c>
      <c r="K124">
        <v>250</v>
      </c>
      <c r="L124">
        <v>3</v>
      </c>
      <c r="M124">
        <v>0</v>
      </c>
      <c r="N124">
        <f>D124*Food_DB!$C$2</f>
        <v>150</v>
      </c>
      <c r="O124">
        <f>E124/100*Food_DB!$C$3</f>
        <v>260</v>
      </c>
      <c r="P124">
        <f>F124/30*Food_DB!$C$4</f>
        <v>111</v>
      </c>
      <c r="Q124">
        <f>G124*Food_DB!$C$5</f>
        <v>222</v>
      </c>
      <c r="R124">
        <f>H124/100*Food_DB!$C$6</f>
        <v>12</v>
      </c>
      <c r="S124">
        <f>I124/100*Food_DB!$C$7</f>
        <v>62.5</v>
      </c>
      <c r="T124">
        <f>IFERROR(K124/100*VLOOKUP(J124,Food_DB!$A$2:$F$14,3,FALSE),0)</f>
        <v>300</v>
      </c>
      <c r="U124">
        <f>L124*Food_DB!$C$8</f>
        <v>270</v>
      </c>
      <c r="V124">
        <f t="shared" si="4"/>
        <v>0</v>
      </c>
      <c r="W124">
        <f t="shared" si="5"/>
        <v>1387.5</v>
      </c>
      <c r="X124">
        <f>D124*Food_DB!$D$2+E124/100*Food_DB!$D$3+F124/30*Food_DB!$D$4+G124*Food_DB!$D$5+H124/100*Food_DB!$D$6+I124/100*Food_DB!$D$7+IFERROR(K124/100*VLOOKUP(J124,Food_DB!$A$2:$F$14,4,FALSE),0)+L124*Food_DB!$D$8</f>
        <v>100.49999999999999</v>
      </c>
      <c r="Y124">
        <f>D124*Food_DB!$E$2+E124/100*Food_DB!$E$3+F124/30*Food_DB!$E$4+G124*Food_DB!$E$5+H124/100*Food_DB!$E$6+I124/100*Food_DB!$E$7+IFERROR(K124/100*VLOOKUP(J124,Food_DB!$A$2:$F$14,5,FALSE),0)+L124*Food_DB!$E$8</f>
        <v>32.35</v>
      </c>
      <c r="Z124">
        <f>D124*Food_DB!$F$2+E124/100*Food_DB!$F$3+F124/30*Food_DB!$F$4+G124*Food_DB!$F$5+H124/100*Food_DB!$F$6+I124/100*Food_DB!$F$7+IFERROR(K124/100*VLOOKUP(J124,Food_DB!$A$2:$F$14,6,FALSE),0)+L124*Food_DB!$F$8</f>
        <v>178.15</v>
      </c>
      <c r="AA124">
        <v>6.5</v>
      </c>
      <c r="AB124">
        <v>30</v>
      </c>
      <c r="AC124">
        <v>0</v>
      </c>
      <c r="AD124">
        <v>0</v>
      </c>
      <c r="AE124">
        <f>Dashboard!$B$6*AA124+Dashboard!$B$6*4*AB124/60+Dashboard!$B$6*8*AC124/120+Dashboard!$B$6*7*AD124</f>
        <v>680</v>
      </c>
      <c r="AF124">
        <f>Dashboard!$B$5</f>
        <v>1700</v>
      </c>
      <c r="AG124">
        <f t="shared" si="6"/>
        <v>2720</v>
      </c>
      <c r="AH124">
        <f t="shared" si="7"/>
        <v>-1332.5</v>
      </c>
    </row>
    <row r="125" spans="1:34">
      <c r="A125">
        <v>46301</v>
      </c>
      <c r="B125" t="s">
        <v>91</v>
      </c>
      <c r="C125" t="s">
        <v>89</v>
      </c>
      <c r="D125">
        <v>2</v>
      </c>
      <c r="E125">
        <v>400</v>
      </c>
      <c r="F125">
        <v>30</v>
      </c>
      <c r="G125">
        <v>1</v>
      </c>
      <c r="H125">
        <v>150</v>
      </c>
      <c r="I125">
        <v>250</v>
      </c>
      <c r="J125" t="s">
        <v>90</v>
      </c>
      <c r="K125">
        <v>250</v>
      </c>
      <c r="L125">
        <v>3</v>
      </c>
      <c r="M125">
        <v>0</v>
      </c>
      <c r="N125">
        <f>D125*Food_DB!$C$2</f>
        <v>150</v>
      </c>
      <c r="O125">
        <f>E125/100*Food_DB!$C$3</f>
        <v>260</v>
      </c>
      <c r="P125">
        <f>F125/30*Food_DB!$C$4</f>
        <v>111</v>
      </c>
      <c r="Q125">
        <f>G125*Food_DB!$C$5</f>
        <v>222</v>
      </c>
      <c r="R125">
        <f>H125/100*Food_DB!$C$6</f>
        <v>12</v>
      </c>
      <c r="S125">
        <f>I125/100*Food_DB!$C$7</f>
        <v>62.5</v>
      </c>
      <c r="T125">
        <f>IFERROR(K125/100*VLOOKUP(J125,Food_DB!$A$2:$F$14,3,FALSE),0)</f>
        <v>575</v>
      </c>
      <c r="U125">
        <f>L125*Food_DB!$C$8</f>
        <v>270</v>
      </c>
      <c r="V125">
        <f t="shared" si="4"/>
        <v>0</v>
      </c>
      <c r="W125">
        <f t="shared" si="5"/>
        <v>1662.5</v>
      </c>
      <c r="X125">
        <f>D125*Food_DB!$D$2+E125/100*Food_DB!$D$3+F125/30*Food_DB!$D$4+G125*Food_DB!$D$5+H125/100*Food_DB!$D$6+I125/100*Food_DB!$D$7+IFERROR(K125/100*VLOOKUP(J125,Food_DB!$A$2:$F$14,4,FALSE),0)+L125*Food_DB!$D$8</f>
        <v>87.999999999999986</v>
      </c>
      <c r="Y125">
        <f>D125*Food_DB!$E$2+E125/100*Food_DB!$E$3+F125/30*Food_DB!$E$4+G125*Food_DB!$E$5+H125/100*Food_DB!$E$6+I125/100*Food_DB!$E$7+IFERROR(K125/100*VLOOKUP(J125,Food_DB!$A$2:$F$14,5,FALSE),0)+L125*Food_DB!$E$8</f>
        <v>68.599999999999994</v>
      </c>
      <c r="Z125">
        <f>D125*Food_DB!$F$2+E125/100*Food_DB!$F$3+F125/30*Food_DB!$F$4+G125*Food_DB!$F$5+H125/100*Food_DB!$F$6+I125/100*Food_DB!$F$7+IFERROR(K125/100*VLOOKUP(J125,Food_DB!$A$2:$F$14,6,FALSE),0)+L125*Food_DB!$F$8</f>
        <v>178.15</v>
      </c>
      <c r="AA125">
        <v>6.5</v>
      </c>
      <c r="AB125">
        <v>30</v>
      </c>
      <c r="AC125">
        <v>0</v>
      </c>
      <c r="AD125">
        <v>0</v>
      </c>
      <c r="AE125">
        <f>Dashboard!$B$6*AA125+Dashboard!$B$6*4*AB125/60+Dashboard!$B$6*8*AC125/120+Dashboard!$B$6*7*AD125</f>
        <v>680</v>
      </c>
      <c r="AF125">
        <f>Dashboard!$B$5</f>
        <v>1700</v>
      </c>
      <c r="AG125">
        <f t="shared" si="6"/>
        <v>2720</v>
      </c>
      <c r="AH125">
        <f t="shared" si="7"/>
        <v>-1057.5</v>
      </c>
    </row>
    <row r="126" spans="1:34">
      <c r="A126">
        <v>46302</v>
      </c>
      <c r="B126" t="s">
        <v>92</v>
      </c>
      <c r="C126" t="s">
        <v>89</v>
      </c>
      <c r="D126">
        <v>2</v>
      </c>
      <c r="E126">
        <v>400</v>
      </c>
      <c r="F126">
        <v>30</v>
      </c>
      <c r="G126">
        <v>1</v>
      </c>
      <c r="H126">
        <v>150</v>
      </c>
      <c r="I126">
        <v>250</v>
      </c>
      <c r="J126" t="s">
        <v>82</v>
      </c>
      <c r="K126">
        <v>250</v>
      </c>
      <c r="L126">
        <v>3</v>
      </c>
      <c r="M126">
        <v>0</v>
      </c>
      <c r="N126">
        <f>D126*Food_DB!$C$2</f>
        <v>150</v>
      </c>
      <c r="O126">
        <f>E126/100*Food_DB!$C$3</f>
        <v>260</v>
      </c>
      <c r="P126">
        <f>F126/30*Food_DB!$C$4</f>
        <v>111</v>
      </c>
      <c r="Q126">
        <f>G126*Food_DB!$C$5</f>
        <v>222</v>
      </c>
      <c r="R126">
        <f>H126/100*Food_DB!$C$6</f>
        <v>12</v>
      </c>
      <c r="S126">
        <f>I126/100*Food_DB!$C$7</f>
        <v>62.5</v>
      </c>
      <c r="T126">
        <f>IFERROR(K126/100*VLOOKUP(J126,Food_DB!$A$2:$F$14,3,FALSE),0)</f>
        <v>550</v>
      </c>
      <c r="U126">
        <f>L126*Food_DB!$C$8</f>
        <v>270</v>
      </c>
      <c r="V126">
        <f t="shared" si="4"/>
        <v>0</v>
      </c>
      <c r="W126">
        <f t="shared" si="5"/>
        <v>1637.5</v>
      </c>
      <c r="X126">
        <f>D126*Food_DB!$D$2+E126/100*Food_DB!$D$3+F126/30*Food_DB!$D$4+G126*Food_DB!$D$5+H126/100*Food_DB!$D$6+I126/100*Food_DB!$D$7+IFERROR(K126/100*VLOOKUP(J126,Food_DB!$A$2:$F$14,4,FALSE),0)+L126*Food_DB!$D$8</f>
        <v>92.999999999999986</v>
      </c>
      <c r="Y126">
        <f>D126*Food_DB!$E$2+E126/100*Food_DB!$E$3+F126/30*Food_DB!$E$4+G126*Food_DB!$E$5+H126/100*Food_DB!$E$6+I126/100*Food_DB!$E$7+IFERROR(K126/100*VLOOKUP(J126,Food_DB!$A$2:$F$14,5,FALSE),0)+L126*Food_DB!$E$8</f>
        <v>63.6</v>
      </c>
      <c r="Z126">
        <f>D126*Food_DB!$F$2+E126/100*Food_DB!$F$3+F126/30*Food_DB!$F$4+G126*Food_DB!$F$5+H126/100*Food_DB!$F$6+I126/100*Food_DB!$F$7+IFERROR(K126/100*VLOOKUP(J126,Food_DB!$A$2:$F$14,6,FALSE),0)+L126*Food_DB!$F$8</f>
        <v>178.15</v>
      </c>
      <c r="AA126">
        <v>6.5</v>
      </c>
      <c r="AB126">
        <v>30</v>
      </c>
      <c r="AC126">
        <v>0</v>
      </c>
      <c r="AD126">
        <v>0</v>
      </c>
      <c r="AE126">
        <f>Dashboard!$B$6*AA126+Dashboard!$B$6*4*AB126/60+Dashboard!$B$6*8*AC126/120+Dashboard!$B$6*7*AD126</f>
        <v>680</v>
      </c>
      <c r="AF126">
        <f>Dashboard!$B$5</f>
        <v>1700</v>
      </c>
      <c r="AG126">
        <f t="shared" si="6"/>
        <v>2720</v>
      </c>
      <c r="AH126">
        <f t="shared" si="7"/>
        <v>-1082.5</v>
      </c>
    </row>
    <row r="127" spans="1:34">
      <c r="A127">
        <v>46303</v>
      </c>
      <c r="B127" t="s">
        <v>93</v>
      </c>
      <c r="C127" t="s">
        <v>89</v>
      </c>
      <c r="D127">
        <v>2</v>
      </c>
      <c r="E127">
        <v>400</v>
      </c>
      <c r="F127">
        <v>30</v>
      </c>
      <c r="G127">
        <v>1</v>
      </c>
      <c r="H127">
        <v>150</v>
      </c>
      <c r="I127">
        <v>250</v>
      </c>
      <c r="J127" t="s">
        <v>85</v>
      </c>
      <c r="K127">
        <v>250</v>
      </c>
      <c r="L127">
        <v>3</v>
      </c>
      <c r="M127">
        <v>0</v>
      </c>
      <c r="N127">
        <f>D127*Food_DB!$C$2</f>
        <v>150</v>
      </c>
      <c r="O127">
        <f>E127/100*Food_DB!$C$3</f>
        <v>260</v>
      </c>
      <c r="P127">
        <f>F127/30*Food_DB!$C$4</f>
        <v>111</v>
      </c>
      <c r="Q127">
        <f>G127*Food_DB!$C$5</f>
        <v>222</v>
      </c>
      <c r="R127">
        <f>H127/100*Food_DB!$C$6</f>
        <v>12</v>
      </c>
      <c r="S127">
        <f>I127/100*Food_DB!$C$7</f>
        <v>62.5</v>
      </c>
      <c r="T127">
        <f>IFERROR(K127/100*VLOOKUP(J127,Food_DB!$A$2:$F$14,3,FALSE),0)</f>
        <v>450</v>
      </c>
      <c r="U127">
        <f>L127*Food_DB!$C$8</f>
        <v>270</v>
      </c>
      <c r="V127">
        <f t="shared" si="4"/>
        <v>0</v>
      </c>
      <c r="W127">
        <f t="shared" si="5"/>
        <v>1537.5</v>
      </c>
      <c r="X127">
        <f>D127*Food_DB!$D$2+E127/100*Food_DB!$D$3+F127/30*Food_DB!$D$4+G127*Food_DB!$D$5+H127/100*Food_DB!$D$6+I127/100*Food_DB!$D$7+IFERROR(K127/100*VLOOKUP(J127,Food_DB!$A$2:$F$14,4,FALSE),0)+L127*Food_DB!$D$8</f>
        <v>92.999999999999986</v>
      </c>
      <c r="Y127">
        <f>D127*Food_DB!$E$2+E127/100*Food_DB!$E$3+F127/30*Food_DB!$E$4+G127*Food_DB!$E$5+H127/100*Food_DB!$E$6+I127/100*Food_DB!$E$7+IFERROR(K127/100*VLOOKUP(J127,Food_DB!$A$2:$F$14,5,FALSE),0)+L127*Food_DB!$E$8</f>
        <v>51.1</v>
      </c>
      <c r="Z127">
        <f>D127*Food_DB!$F$2+E127/100*Food_DB!$F$3+F127/30*Food_DB!$F$4+G127*Food_DB!$F$5+H127/100*Food_DB!$F$6+I127/100*Food_DB!$F$7+IFERROR(K127/100*VLOOKUP(J127,Food_DB!$A$2:$F$14,6,FALSE),0)+L127*Food_DB!$F$8</f>
        <v>178.15</v>
      </c>
      <c r="AA127">
        <v>6.5</v>
      </c>
      <c r="AB127">
        <v>30</v>
      </c>
      <c r="AC127">
        <v>0</v>
      </c>
      <c r="AD127">
        <v>0</v>
      </c>
      <c r="AE127">
        <f>Dashboard!$B$6*AA127+Dashboard!$B$6*4*AB127/60+Dashboard!$B$6*8*AC127/120+Dashboard!$B$6*7*AD127</f>
        <v>680</v>
      </c>
      <c r="AF127">
        <f>Dashboard!$B$5</f>
        <v>1700</v>
      </c>
      <c r="AG127">
        <f t="shared" si="6"/>
        <v>2720</v>
      </c>
      <c r="AH127">
        <f t="shared" si="7"/>
        <v>-1182.5</v>
      </c>
    </row>
    <row r="128" spans="1:34">
      <c r="A128">
        <v>46304</v>
      </c>
      <c r="B128" t="s">
        <v>80</v>
      </c>
      <c r="C128" t="s">
        <v>81</v>
      </c>
      <c r="D128">
        <v>2</v>
      </c>
      <c r="E128">
        <v>400</v>
      </c>
      <c r="F128">
        <v>30</v>
      </c>
      <c r="G128">
        <v>1</v>
      </c>
      <c r="H128">
        <v>150</v>
      </c>
      <c r="I128">
        <v>250</v>
      </c>
      <c r="J128" t="s">
        <v>87</v>
      </c>
      <c r="K128">
        <v>250</v>
      </c>
      <c r="L128">
        <v>3</v>
      </c>
      <c r="M128">
        <v>1000</v>
      </c>
      <c r="N128">
        <f>D128*Food_DB!$C$2</f>
        <v>150</v>
      </c>
      <c r="O128">
        <f>E128/100*Food_DB!$C$3</f>
        <v>260</v>
      </c>
      <c r="P128">
        <f>F128/30*Food_DB!$C$4</f>
        <v>111</v>
      </c>
      <c r="Q128">
        <f>G128*Food_DB!$C$5</f>
        <v>222</v>
      </c>
      <c r="R128">
        <f>H128/100*Food_DB!$C$6</f>
        <v>12</v>
      </c>
      <c r="S128">
        <f>I128/100*Food_DB!$C$7</f>
        <v>62.5</v>
      </c>
      <c r="T128">
        <f>IFERROR(K128/100*VLOOKUP(J128,Food_DB!$A$2:$F$14,3,FALSE),0)</f>
        <v>300</v>
      </c>
      <c r="U128">
        <f>L128*Food_DB!$C$8</f>
        <v>270</v>
      </c>
      <c r="V128">
        <f t="shared" si="4"/>
        <v>1000</v>
      </c>
      <c r="W128">
        <f t="shared" si="5"/>
        <v>2387.5</v>
      </c>
      <c r="X128">
        <f>D128*Food_DB!$D$2+E128/100*Food_DB!$D$3+F128/30*Food_DB!$D$4+G128*Food_DB!$D$5+H128/100*Food_DB!$D$6+I128/100*Food_DB!$D$7+IFERROR(K128/100*VLOOKUP(J128,Food_DB!$A$2:$F$14,4,FALSE),0)+L128*Food_DB!$D$8</f>
        <v>100.49999999999999</v>
      </c>
      <c r="Y128">
        <f>D128*Food_DB!$E$2+E128/100*Food_DB!$E$3+F128/30*Food_DB!$E$4+G128*Food_DB!$E$5+H128/100*Food_DB!$E$6+I128/100*Food_DB!$E$7+IFERROR(K128/100*VLOOKUP(J128,Food_DB!$A$2:$F$14,5,FALSE),0)+L128*Food_DB!$E$8</f>
        <v>32.35</v>
      </c>
      <c r="Z128">
        <f>D128*Food_DB!$F$2+E128/100*Food_DB!$F$3+F128/30*Food_DB!$F$4+G128*Food_DB!$F$5+H128/100*Food_DB!$F$6+I128/100*Food_DB!$F$7+IFERROR(K128/100*VLOOKUP(J128,Food_DB!$A$2:$F$14,6,FALSE),0)+L128*Food_DB!$F$8</f>
        <v>178.15</v>
      </c>
      <c r="AA128">
        <v>6.5</v>
      </c>
      <c r="AB128">
        <v>30</v>
      </c>
      <c r="AC128">
        <v>0</v>
      </c>
      <c r="AD128">
        <v>0</v>
      </c>
      <c r="AE128">
        <f>Dashboard!$B$6*AA128+Dashboard!$B$6*4*AB128/60+Dashboard!$B$6*8*AC128/120+Dashboard!$B$6*7*AD128</f>
        <v>680</v>
      </c>
      <c r="AF128">
        <f>Dashboard!$B$5</f>
        <v>1700</v>
      </c>
      <c r="AG128">
        <f t="shared" si="6"/>
        <v>2720</v>
      </c>
      <c r="AH128">
        <f t="shared" si="7"/>
        <v>-332.5</v>
      </c>
    </row>
    <row r="129" spans="1:34">
      <c r="A129">
        <v>46305</v>
      </c>
      <c r="B129" t="s">
        <v>83</v>
      </c>
      <c r="C129" t="s">
        <v>84</v>
      </c>
      <c r="D129">
        <v>2</v>
      </c>
      <c r="E129">
        <v>400</v>
      </c>
      <c r="F129">
        <v>30</v>
      </c>
      <c r="G129">
        <v>1</v>
      </c>
      <c r="H129">
        <v>150</v>
      </c>
      <c r="I129">
        <v>250</v>
      </c>
      <c r="J129" t="s">
        <v>90</v>
      </c>
      <c r="K129">
        <v>250</v>
      </c>
      <c r="L129">
        <v>3</v>
      </c>
      <c r="M129">
        <v>0</v>
      </c>
      <c r="N129">
        <f>D129*Food_DB!$C$2</f>
        <v>150</v>
      </c>
      <c r="O129">
        <f>E129/100*Food_DB!$C$3</f>
        <v>260</v>
      </c>
      <c r="P129">
        <f>F129/30*Food_DB!$C$4</f>
        <v>111</v>
      </c>
      <c r="Q129">
        <f>G129*Food_DB!$C$5</f>
        <v>222</v>
      </c>
      <c r="R129">
        <f>H129/100*Food_DB!$C$6</f>
        <v>12</v>
      </c>
      <c r="S129">
        <f>I129/100*Food_DB!$C$7</f>
        <v>62.5</v>
      </c>
      <c r="T129">
        <f>IFERROR(K129/100*VLOOKUP(J129,Food_DB!$A$2:$F$14,3,FALSE),0)</f>
        <v>575</v>
      </c>
      <c r="U129">
        <f>L129*Food_DB!$C$8</f>
        <v>270</v>
      </c>
      <c r="V129">
        <f t="shared" si="4"/>
        <v>0</v>
      </c>
      <c r="W129">
        <f t="shared" si="5"/>
        <v>1662.5</v>
      </c>
      <c r="X129">
        <f>D129*Food_DB!$D$2+E129/100*Food_DB!$D$3+F129/30*Food_DB!$D$4+G129*Food_DB!$D$5+H129/100*Food_DB!$D$6+I129/100*Food_DB!$D$7+IFERROR(K129/100*VLOOKUP(J129,Food_DB!$A$2:$F$14,4,FALSE),0)+L129*Food_DB!$D$8</f>
        <v>87.999999999999986</v>
      </c>
      <c r="Y129">
        <f>D129*Food_DB!$E$2+E129/100*Food_DB!$E$3+F129/30*Food_DB!$E$4+G129*Food_DB!$E$5+H129/100*Food_DB!$E$6+I129/100*Food_DB!$E$7+IFERROR(K129/100*VLOOKUP(J129,Food_DB!$A$2:$F$14,5,FALSE),0)+L129*Food_DB!$E$8</f>
        <v>68.599999999999994</v>
      </c>
      <c r="Z129">
        <f>D129*Food_DB!$F$2+E129/100*Food_DB!$F$3+F129/30*Food_DB!$F$4+G129*Food_DB!$F$5+H129/100*Food_DB!$F$6+I129/100*Food_DB!$F$7+IFERROR(K129/100*VLOOKUP(J129,Food_DB!$A$2:$F$14,6,FALSE),0)+L129*Food_DB!$F$8</f>
        <v>178.15</v>
      </c>
      <c r="AA129">
        <v>0</v>
      </c>
      <c r="AB129">
        <v>0</v>
      </c>
      <c r="AC129">
        <v>0</v>
      </c>
      <c r="AD129">
        <v>3.5</v>
      </c>
      <c r="AE129">
        <f>Dashboard!$B$6*AA129+Dashboard!$B$6*4*AB129/60+Dashboard!$B$6*8*AC129/120+Dashboard!$B$6*7*AD129</f>
        <v>1960</v>
      </c>
      <c r="AF129">
        <f>Dashboard!$B$5</f>
        <v>1700</v>
      </c>
      <c r="AG129">
        <f t="shared" si="6"/>
        <v>4000</v>
      </c>
      <c r="AH129">
        <f t="shared" si="7"/>
        <v>-2337.5</v>
      </c>
    </row>
    <row r="130" spans="1:34">
      <c r="A130">
        <v>46306</v>
      </c>
      <c r="B130" t="s">
        <v>86</v>
      </c>
      <c r="C130" t="s">
        <v>84</v>
      </c>
      <c r="D130">
        <v>2</v>
      </c>
      <c r="E130">
        <v>400</v>
      </c>
      <c r="F130">
        <v>30</v>
      </c>
      <c r="G130">
        <v>1</v>
      </c>
      <c r="H130">
        <v>150</v>
      </c>
      <c r="I130">
        <v>250</v>
      </c>
      <c r="J130" t="s">
        <v>82</v>
      </c>
      <c r="K130">
        <v>250</v>
      </c>
      <c r="L130">
        <v>3</v>
      </c>
      <c r="M130">
        <v>0</v>
      </c>
      <c r="N130">
        <f>D130*Food_DB!$C$2</f>
        <v>150</v>
      </c>
      <c r="O130">
        <f>E130/100*Food_DB!$C$3</f>
        <v>260</v>
      </c>
      <c r="P130">
        <f>F130/30*Food_DB!$C$4</f>
        <v>111</v>
      </c>
      <c r="Q130">
        <f>G130*Food_DB!$C$5</f>
        <v>222</v>
      </c>
      <c r="R130">
        <f>H130/100*Food_DB!$C$6</f>
        <v>12</v>
      </c>
      <c r="S130">
        <f>I130/100*Food_DB!$C$7</f>
        <v>62.5</v>
      </c>
      <c r="T130">
        <f>IFERROR(K130/100*VLOOKUP(J130,Food_DB!$A$2:$F$14,3,FALSE),0)</f>
        <v>550</v>
      </c>
      <c r="U130">
        <f>L130*Food_DB!$C$8</f>
        <v>270</v>
      </c>
      <c r="V130">
        <f t="shared" ref="V130:V193" si="8">M130</f>
        <v>0</v>
      </c>
      <c r="W130">
        <f t="shared" ref="W130:W193" si="9">SUM(N130:V130)</f>
        <v>1637.5</v>
      </c>
      <c r="X130">
        <f>D130*Food_DB!$D$2+E130/100*Food_DB!$D$3+F130/30*Food_DB!$D$4+G130*Food_DB!$D$5+H130/100*Food_DB!$D$6+I130/100*Food_DB!$D$7+IFERROR(K130/100*VLOOKUP(J130,Food_DB!$A$2:$F$14,4,FALSE),0)+L130*Food_DB!$D$8</f>
        <v>92.999999999999986</v>
      </c>
      <c r="Y130">
        <f>D130*Food_DB!$E$2+E130/100*Food_DB!$E$3+F130/30*Food_DB!$E$4+G130*Food_DB!$E$5+H130/100*Food_DB!$E$6+I130/100*Food_DB!$E$7+IFERROR(K130/100*VLOOKUP(J130,Food_DB!$A$2:$F$14,5,FALSE),0)+L130*Food_DB!$E$8</f>
        <v>63.6</v>
      </c>
      <c r="Z130">
        <f>D130*Food_DB!$F$2+E130/100*Food_DB!$F$3+F130/30*Food_DB!$F$4+G130*Food_DB!$F$5+H130/100*Food_DB!$F$6+I130/100*Food_DB!$F$7+IFERROR(K130/100*VLOOKUP(J130,Food_DB!$A$2:$F$14,6,FALSE),0)+L130*Food_DB!$F$8</f>
        <v>178.15</v>
      </c>
      <c r="AA130">
        <v>0</v>
      </c>
      <c r="AB130">
        <v>0</v>
      </c>
      <c r="AC130">
        <v>0</v>
      </c>
      <c r="AD130">
        <v>3.5</v>
      </c>
      <c r="AE130">
        <f>Dashboard!$B$6*AA130+Dashboard!$B$6*4*AB130/60+Dashboard!$B$6*8*AC130/120+Dashboard!$B$6*7*AD130</f>
        <v>1960</v>
      </c>
      <c r="AF130">
        <f>Dashboard!$B$5</f>
        <v>1700</v>
      </c>
      <c r="AG130">
        <f t="shared" ref="AG130:AG193" si="10">AF130*1.2+AE130</f>
        <v>4000</v>
      </c>
      <c r="AH130">
        <f t="shared" ref="AH130:AH193" si="11">W130-AG130</f>
        <v>-2362.5</v>
      </c>
    </row>
    <row r="131" spans="1:34">
      <c r="A131">
        <v>46307</v>
      </c>
      <c r="B131" t="s">
        <v>88</v>
      </c>
      <c r="C131" t="s">
        <v>89</v>
      </c>
      <c r="D131">
        <v>2</v>
      </c>
      <c r="E131">
        <v>400</v>
      </c>
      <c r="F131">
        <v>30</v>
      </c>
      <c r="G131">
        <v>1</v>
      </c>
      <c r="H131">
        <v>150</v>
      </c>
      <c r="I131">
        <v>250</v>
      </c>
      <c r="J131" t="s">
        <v>85</v>
      </c>
      <c r="K131">
        <v>250</v>
      </c>
      <c r="L131">
        <v>3</v>
      </c>
      <c r="M131">
        <v>0</v>
      </c>
      <c r="N131">
        <f>D131*Food_DB!$C$2</f>
        <v>150</v>
      </c>
      <c r="O131">
        <f>E131/100*Food_DB!$C$3</f>
        <v>260</v>
      </c>
      <c r="P131">
        <f>F131/30*Food_DB!$C$4</f>
        <v>111</v>
      </c>
      <c r="Q131">
        <f>G131*Food_DB!$C$5</f>
        <v>222</v>
      </c>
      <c r="R131">
        <f>H131/100*Food_DB!$C$6</f>
        <v>12</v>
      </c>
      <c r="S131">
        <f>I131/100*Food_DB!$C$7</f>
        <v>62.5</v>
      </c>
      <c r="T131">
        <f>IFERROR(K131/100*VLOOKUP(J131,Food_DB!$A$2:$F$14,3,FALSE),0)</f>
        <v>450</v>
      </c>
      <c r="U131">
        <f>L131*Food_DB!$C$8</f>
        <v>270</v>
      </c>
      <c r="V131">
        <f t="shared" si="8"/>
        <v>0</v>
      </c>
      <c r="W131">
        <f t="shared" si="9"/>
        <v>1537.5</v>
      </c>
      <c r="X131">
        <f>D131*Food_DB!$D$2+E131/100*Food_DB!$D$3+F131/30*Food_DB!$D$4+G131*Food_DB!$D$5+H131/100*Food_DB!$D$6+I131/100*Food_DB!$D$7+IFERROR(K131/100*VLOOKUP(J131,Food_DB!$A$2:$F$14,4,FALSE),0)+L131*Food_DB!$D$8</f>
        <v>92.999999999999986</v>
      </c>
      <c r="Y131">
        <f>D131*Food_DB!$E$2+E131/100*Food_DB!$E$3+F131/30*Food_DB!$E$4+G131*Food_DB!$E$5+H131/100*Food_DB!$E$6+I131/100*Food_DB!$E$7+IFERROR(K131/100*VLOOKUP(J131,Food_DB!$A$2:$F$14,5,FALSE),0)+L131*Food_DB!$E$8</f>
        <v>51.1</v>
      </c>
      <c r="Z131">
        <f>D131*Food_DB!$F$2+E131/100*Food_DB!$F$3+F131/30*Food_DB!$F$4+G131*Food_DB!$F$5+H131/100*Food_DB!$F$6+I131/100*Food_DB!$F$7+IFERROR(K131/100*VLOOKUP(J131,Food_DB!$A$2:$F$14,6,FALSE),0)+L131*Food_DB!$F$8</f>
        <v>178.15</v>
      </c>
      <c r="AA131">
        <v>6.5</v>
      </c>
      <c r="AB131">
        <v>30</v>
      </c>
      <c r="AC131">
        <v>0</v>
      </c>
      <c r="AD131">
        <v>0</v>
      </c>
      <c r="AE131">
        <f>Dashboard!$B$6*AA131+Dashboard!$B$6*4*AB131/60+Dashboard!$B$6*8*AC131/120+Dashboard!$B$6*7*AD131</f>
        <v>680</v>
      </c>
      <c r="AF131">
        <f>Dashboard!$B$5</f>
        <v>1700</v>
      </c>
      <c r="AG131">
        <f t="shared" si="10"/>
        <v>2720</v>
      </c>
      <c r="AH131">
        <f t="shared" si="11"/>
        <v>-1182.5</v>
      </c>
    </row>
    <row r="132" spans="1:34">
      <c r="A132">
        <v>46308</v>
      </c>
      <c r="B132" t="s">
        <v>91</v>
      </c>
      <c r="C132" t="s">
        <v>89</v>
      </c>
      <c r="D132">
        <v>2</v>
      </c>
      <c r="E132">
        <v>400</v>
      </c>
      <c r="F132">
        <v>30</v>
      </c>
      <c r="G132">
        <v>1</v>
      </c>
      <c r="H132">
        <v>150</v>
      </c>
      <c r="I132">
        <v>250</v>
      </c>
      <c r="J132" t="s">
        <v>87</v>
      </c>
      <c r="K132">
        <v>250</v>
      </c>
      <c r="L132">
        <v>3</v>
      </c>
      <c r="M132">
        <v>0</v>
      </c>
      <c r="N132">
        <f>D132*Food_DB!$C$2</f>
        <v>150</v>
      </c>
      <c r="O132">
        <f>E132/100*Food_DB!$C$3</f>
        <v>260</v>
      </c>
      <c r="P132">
        <f>F132/30*Food_DB!$C$4</f>
        <v>111</v>
      </c>
      <c r="Q132">
        <f>G132*Food_DB!$C$5</f>
        <v>222</v>
      </c>
      <c r="R132">
        <f>H132/100*Food_DB!$C$6</f>
        <v>12</v>
      </c>
      <c r="S132">
        <f>I132/100*Food_DB!$C$7</f>
        <v>62.5</v>
      </c>
      <c r="T132">
        <f>IFERROR(K132/100*VLOOKUP(J132,Food_DB!$A$2:$F$14,3,FALSE),0)</f>
        <v>300</v>
      </c>
      <c r="U132">
        <f>L132*Food_DB!$C$8</f>
        <v>270</v>
      </c>
      <c r="V132">
        <f t="shared" si="8"/>
        <v>0</v>
      </c>
      <c r="W132">
        <f t="shared" si="9"/>
        <v>1387.5</v>
      </c>
      <c r="X132">
        <f>D132*Food_DB!$D$2+E132/100*Food_DB!$D$3+F132/30*Food_DB!$D$4+G132*Food_DB!$D$5+H132/100*Food_DB!$D$6+I132/100*Food_DB!$D$7+IFERROR(K132/100*VLOOKUP(J132,Food_DB!$A$2:$F$14,4,FALSE),0)+L132*Food_DB!$D$8</f>
        <v>100.49999999999999</v>
      </c>
      <c r="Y132">
        <f>D132*Food_DB!$E$2+E132/100*Food_DB!$E$3+F132/30*Food_DB!$E$4+G132*Food_DB!$E$5+H132/100*Food_DB!$E$6+I132/100*Food_DB!$E$7+IFERROR(K132/100*VLOOKUP(J132,Food_DB!$A$2:$F$14,5,FALSE),0)+L132*Food_DB!$E$8</f>
        <v>32.35</v>
      </c>
      <c r="Z132">
        <f>D132*Food_DB!$F$2+E132/100*Food_DB!$F$3+F132/30*Food_DB!$F$4+G132*Food_DB!$F$5+H132/100*Food_DB!$F$6+I132/100*Food_DB!$F$7+IFERROR(K132/100*VLOOKUP(J132,Food_DB!$A$2:$F$14,6,FALSE),0)+L132*Food_DB!$F$8</f>
        <v>178.15</v>
      </c>
      <c r="AA132">
        <v>6.5</v>
      </c>
      <c r="AB132">
        <v>30</v>
      </c>
      <c r="AC132">
        <v>0</v>
      </c>
      <c r="AD132">
        <v>0</v>
      </c>
      <c r="AE132">
        <f>Dashboard!$B$6*AA132+Dashboard!$B$6*4*AB132/60+Dashboard!$B$6*8*AC132/120+Dashboard!$B$6*7*AD132</f>
        <v>680</v>
      </c>
      <c r="AF132">
        <f>Dashboard!$B$5</f>
        <v>1700</v>
      </c>
      <c r="AG132">
        <f t="shared" si="10"/>
        <v>2720</v>
      </c>
      <c r="AH132">
        <f t="shared" si="11"/>
        <v>-1332.5</v>
      </c>
    </row>
    <row r="133" spans="1:34">
      <c r="A133">
        <v>46309</v>
      </c>
      <c r="B133" t="s">
        <v>92</v>
      </c>
      <c r="C133" t="s">
        <v>89</v>
      </c>
      <c r="D133">
        <v>2</v>
      </c>
      <c r="E133">
        <v>400</v>
      </c>
      <c r="F133">
        <v>30</v>
      </c>
      <c r="G133">
        <v>1</v>
      </c>
      <c r="H133">
        <v>150</v>
      </c>
      <c r="I133">
        <v>250</v>
      </c>
      <c r="J133" t="s">
        <v>90</v>
      </c>
      <c r="K133">
        <v>250</v>
      </c>
      <c r="L133">
        <v>3</v>
      </c>
      <c r="M133">
        <v>0</v>
      </c>
      <c r="N133">
        <f>D133*Food_DB!$C$2</f>
        <v>150</v>
      </c>
      <c r="O133">
        <f>E133/100*Food_DB!$C$3</f>
        <v>260</v>
      </c>
      <c r="P133">
        <f>F133/30*Food_DB!$C$4</f>
        <v>111</v>
      </c>
      <c r="Q133">
        <f>G133*Food_DB!$C$5</f>
        <v>222</v>
      </c>
      <c r="R133">
        <f>H133/100*Food_DB!$C$6</f>
        <v>12</v>
      </c>
      <c r="S133">
        <f>I133/100*Food_DB!$C$7</f>
        <v>62.5</v>
      </c>
      <c r="T133">
        <f>IFERROR(K133/100*VLOOKUP(J133,Food_DB!$A$2:$F$14,3,FALSE),0)</f>
        <v>575</v>
      </c>
      <c r="U133">
        <f>L133*Food_DB!$C$8</f>
        <v>270</v>
      </c>
      <c r="V133">
        <f t="shared" si="8"/>
        <v>0</v>
      </c>
      <c r="W133">
        <f t="shared" si="9"/>
        <v>1662.5</v>
      </c>
      <c r="X133">
        <f>D133*Food_DB!$D$2+E133/100*Food_DB!$D$3+F133/30*Food_DB!$D$4+G133*Food_DB!$D$5+H133/100*Food_DB!$D$6+I133/100*Food_DB!$D$7+IFERROR(K133/100*VLOOKUP(J133,Food_DB!$A$2:$F$14,4,FALSE),0)+L133*Food_DB!$D$8</f>
        <v>87.999999999999986</v>
      </c>
      <c r="Y133">
        <f>D133*Food_DB!$E$2+E133/100*Food_DB!$E$3+F133/30*Food_DB!$E$4+G133*Food_DB!$E$5+H133/100*Food_DB!$E$6+I133/100*Food_DB!$E$7+IFERROR(K133/100*VLOOKUP(J133,Food_DB!$A$2:$F$14,5,FALSE),0)+L133*Food_DB!$E$8</f>
        <v>68.599999999999994</v>
      </c>
      <c r="Z133">
        <f>D133*Food_DB!$F$2+E133/100*Food_DB!$F$3+F133/30*Food_DB!$F$4+G133*Food_DB!$F$5+H133/100*Food_DB!$F$6+I133/100*Food_DB!$F$7+IFERROR(K133/100*VLOOKUP(J133,Food_DB!$A$2:$F$14,6,FALSE),0)+L133*Food_DB!$F$8</f>
        <v>178.15</v>
      </c>
      <c r="AA133">
        <v>6.5</v>
      </c>
      <c r="AB133">
        <v>30</v>
      </c>
      <c r="AC133">
        <v>0</v>
      </c>
      <c r="AD133">
        <v>0</v>
      </c>
      <c r="AE133">
        <f>Dashboard!$B$6*AA133+Dashboard!$B$6*4*AB133/60+Dashboard!$B$6*8*AC133/120+Dashboard!$B$6*7*AD133</f>
        <v>680</v>
      </c>
      <c r="AF133">
        <f>Dashboard!$B$5</f>
        <v>1700</v>
      </c>
      <c r="AG133">
        <f t="shared" si="10"/>
        <v>2720</v>
      </c>
      <c r="AH133">
        <f t="shared" si="11"/>
        <v>-1057.5</v>
      </c>
    </row>
    <row r="134" spans="1:34">
      <c r="A134">
        <v>46310</v>
      </c>
      <c r="B134" t="s">
        <v>93</v>
      </c>
      <c r="C134" t="s">
        <v>89</v>
      </c>
      <c r="D134">
        <v>2</v>
      </c>
      <c r="E134">
        <v>400</v>
      </c>
      <c r="F134">
        <v>30</v>
      </c>
      <c r="G134">
        <v>1</v>
      </c>
      <c r="H134">
        <v>150</v>
      </c>
      <c r="I134">
        <v>250</v>
      </c>
      <c r="J134" t="s">
        <v>82</v>
      </c>
      <c r="K134">
        <v>250</v>
      </c>
      <c r="L134">
        <v>3</v>
      </c>
      <c r="M134">
        <v>0</v>
      </c>
      <c r="N134">
        <f>D134*Food_DB!$C$2</f>
        <v>150</v>
      </c>
      <c r="O134">
        <f>E134/100*Food_DB!$C$3</f>
        <v>260</v>
      </c>
      <c r="P134">
        <f>F134/30*Food_DB!$C$4</f>
        <v>111</v>
      </c>
      <c r="Q134">
        <f>G134*Food_DB!$C$5</f>
        <v>222</v>
      </c>
      <c r="R134">
        <f>H134/100*Food_DB!$C$6</f>
        <v>12</v>
      </c>
      <c r="S134">
        <f>I134/100*Food_DB!$C$7</f>
        <v>62.5</v>
      </c>
      <c r="T134">
        <f>IFERROR(K134/100*VLOOKUP(J134,Food_DB!$A$2:$F$14,3,FALSE),0)</f>
        <v>550</v>
      </c>
      <c r="U134">
        <f>L134*Food_DB!$C$8</f>
        <v>270</v>
      </c>
      <c r="V134">
        <f t="shared" si="8"/>
        <v>0</v>
      </c>
      <c r="W134">
        <f t="shared" si="9"/>
        <v>1637.5</v>
      </c>
      <c r="X134">
        <f>D134*Food_DB!$D$2+E134/100*Food_DB!$D$3+F134/30*Food_DB!$D$4+G134*Food_DB!$D$5+H134/100*Food_DB!$D$6+I134/100*Food_DB!$D$7+IFERROR(K134/100*VLOOKUP(J134,Food_DB!$A$2:$F$14,4,FALSE),0)+L134*Food_DB!$D$8</f>
        <v>92.999999999999986</v>
      </c>
      <c r="Y134">
        <f>D134*Food_DB!$E$2+E134/100*Food_DB!$E$3+F134/30*Food_DB!$E$4+G134*Food_DB!$E$5+H134/100*Food_DB!$E$6+I134/100*Food_DB!$E$7+IFERROR(K134/100*VLOOKUP(J134,Food_DB!$A$2:$F$14,5,FALSE),0)+L134*Food_DB!$E$8</f>
        <v>63.6</v>
      </c>
      <c r="Z134">
        <f>D134*Food_DB!$F$2+E134/100*Food_DB!$F$3+F134/30*Food_DB!$F$4+G134*Food_DB!$F$5+H134/100*Food_DB!$F$6+I134/100*Food_DB!$F$7+IFERROR(K134/100*VLOOKUP(J134,Food_DB!$A$2:$F$14,6,FALSE),0)+L134*Food_DB!$F$8</f>
        <v>178.15</v>
      </c>
      <c r="AA134">
        <v>6.5</v>
      </c>
      <c r="AB134">
        <v>30</v>
      </c>
      <c r="AC134">
        <v>0</v>
      </c>
      <c r="AD134">
        <v>0</v>
      </c>
      <c r="AE134">
        <f>Dashboard!$B$6*AA134+Dashboard!$B$6*4*AB134/60+Dashboard!$B$6*8*AC134/120+Dashboard!$B$6*7*AD134</f>
        <v>680</v>
      </c>
      <c r="AF134">
        <f>Dashboard!$B$5</f>
        <v>1700</v>
      </c>
      <c r="AG134">
        <f t="shared" si="10"/>
        <v>2720</v>
      </c>
      <c r="AH134">
        <f t="shared" si="11"/>
        <v>-1082.5</v>
      </c>
    </row>
    <row r="135" spans="1:34">
      <c r="A135">
        <v>46311</v>
      </c>
      <c r="B135" t="s">
        <v>80</v>
      </c>
      <c r="C135" t="s">
        <v>81</v>
      </c>
      <c r="D135">
        <v>2</v>
      </c>
      <c r="E135">
        <v>400</v>
      </c>
      <c r="F135">
        <v>30</v>
      </c>
      <c r="G135">
        <v>1</v>
      </c>
      <c r="H135">
        <v>150</v>
      </c>
      <c r="I135">
        <v>250</v>
      </c>
      <c r="J135" t="s">
        <v>85</v>
      </c>
      <c r="K135">
        <v>250</v>
      </c>
      <c r="L135">
        <v>3</v>
      </c>
      <c r="M135">
        <v>1000</v>
      </c>
      <c r="N135">
        <f>D135*Food_DB!$C$2</f>
        <v>150</v>
      </c>
      <c r="O135">
        <f>E135/100*Food_DB!$C$3</f>
        <v>260</v>
      </c>
      <c r="P135">
        <f>F135/30*Food_DB!$C$4</f>
        <v>111</v>
      </c>
      <c r="Q135">
        <f>G135*Food_DB!$C$5</f>
        <v>222</v>
      </c>
      <c r="R135">
        <f>H135/100*Food_DB!$C$6</f>
        <v>12</v>
      </c>
      <c r="S135">
        <f>I135/100*Food_DB!$C$7</f>
        <v>62.5</v>
      </c>
      <c r="T135">
        <f>IFERROR(K135/100*VLOOKUP(J135,Food_DB!$A$2:$F$14,3,FALSE),0)</f>
        <v>450</v>
      </c>
      <c r="U135">
        <f>L135*Food_DB!$C$8</f>
        <v>270</v>
      </c>
      <c r="V135">
        <f t="shared" si="8"/>
        <v>1000</v>
      </c>
      <c r="W135">
        <f t="shared" si="9"/>
        <v>2537.5</v>
      </c>
      <c r="X135">
        <f>D135*Food_DB!$D$2+E135/100*Food_DB!$D$3+F135/30*Food_DB!$D$4+G135*Food_DB!$D$5+H135/100*Food_DB!$D$6+I135/100*Food_DB!$D$7+IFERROR(K135/100*VLOOKUP(J135,Food_DB!$A$2:$F$14,4,FALSE),0)+L135*Food_DB!$D$8</f>
        <v>92.999999999999986</v>
      </c>
      <c r="Y135">
        <f>D135*Food_DB!$E$2+E135/100*Food_DB!$E$3+F135/30*Food_DB!$E$4+G135*Food_DB!$E$5+H135/100*Food_DB!$E$6+I135/100*Food_DB!$E$7+IFERROR(K135/100*VLOOKUP(J135,Food_DB!$A$2:$F$14,5,FALSE),0)+L135*Food_DB!$E$8</f>
        <v>51.1</v>
      </c>
      <c r="Z135">
        <f>D135*Food_DB!$F$2+E135/100*Food_DB!$F$3+F135/30*Food_DB!$F$4+G135*Food_DB!$F$5+H135/100*Food_DB!$F$6+I135/100*Food_DB!$F$7+IFERROR(K135/100*VLOOKUP(J135,Food_DB!$A$2:$F$14,6,FALSE),0)+L135*Food_DB!$F$8</f>
        <v>178.15</v>
      </c>
      <c r="AA135">
        <v>6.5</v>
      </c>
      <c r="AB135">
        <v>30</v>
      </c>
      <c r="AC135">
        <v>0</v>
      </c>
      <c r="AD135">
        <v>0</v>
      </c>
      <c r="AE135">
        <f>Dashboard!$B$6*AA135+Dashboard!$B$6*4*AB135/60+Dashboard!$B$6*8*AC135/120+Dashboard!$B$6*7*AD135</f>
        <v>680</v>
      </c>
      <c r="AF135">
        <f>Dashboard!$B$5</f>
        <v>1700</v>
      </c>
      <c r="AG135">
        <f t="shared" si="10"/>
        <v>2720</v>
      </c>
      <c r="AH135">
        <f t="shared" si="11"/>
        <v>-182.5</v>
      </c>
    </row>
    <row r="136" spans="1:34">
      <c r="A136">
        <v>46312</v>
      </c>
      <c r="B136" t="s">
        <v>83</v>
      </c>
      <c r="C136" t="s">
        <v>84</v>
      </c>
      <c r="D136">
        <v>2</v>
      </c>
      <c r="E136">
        <v>400</v>
      </c>
      <c r="F136">
        <v>30</v>
      </c>
      <c r="G136">
        <v>1</v>
      </c>
      <c r="H136">
        <v>150</v>
      </c>
      <c r="I136">
        <v>250</v>
      </c>
      <c r="J136" t="s">
        <v>87</v>
      </c>
      <c r="K136">
        <v>250</v>
      </c>
      <c r="L136">
        <v>3</v>
      </c>
      <c r="M136">
        <v>0</v>
      </c>
      <c r="N136">
        <f>D136*Food_DB!$C$2</f>
        <v>150</v>
      </c>
      <c r="O136">
        <f>E136/100*Food_DB!$C$3</f>
        <v>260</v>
      </c>
      <c r="P136">
        <f>F136/30*Food_DB!$C$4</f>
        <v>111</v>
      </c>
      <c r="Q136">
        <f>G136*Food_DB!$C$5</f>
        <v>222</v>
      </c>
      <c r="R136">
        <f>H136/100*Food_DB!$C$6</f>
        <v>12</v>
      </c>
      <c r="S136">
        <f>I136/100*Food_DB!$C$7</f>
        <v>62.5</v>
      </c>
      <c r="T136">
        <f>IFERROR(K136/100*VLOOKUP(J136,Food_DB!$A$2:$F$14,3,FALSE),0)</f>
        <v>300</v>
      </c>
      <c r="U136">
        <f>L136*Food_DB!$C$8</f>
        <v>270</v>
      </c>
      <c r="V136">
        <f t="shared" si="8"/>
        <v>0</v>
      </c>
      <c r="W136">
        <f t="shared" si="9"/>
        <v>1387.5</v>
      </c>
      <c r="X136">
        <f>D136*Food_DB!$D$2+E136/100*Food_DB!$D$3+F136/30*Food_DB!$D$4+G136*Food_DB!$D$5+H136/100*Food_DB!$D$6+I136/100*Food_DB!$D$7+IFERROR(K136/100*VLOOKUP(J136,Food_DB!$A$2:$F$14,4,FALSE),0)+L136*Food_DB!$D$8</f>
        <v>100.49999999999999</v>
      </c>
      <c r="Y136">
        <f>D136*Food_DB!$E$2+E136/100*Food_DB!$E$3+F136/30*Food_DB!$E$4+G136*Food_DB!$E$5+H136/100*Food_DB!$E$6+I136/100*Food_DB!$E$7+IFERROR(K136/100*VLOOKUP(J136,Food_DB!$A$2:$F$14,5,FALSE),0)+L136*Food_DB!$E$8</f>
        <v>32.35</v>
      </c>
      <c r="Z136">
        <f>D136*Food_DB!$F$2+E136/100*Food_DB!$F$3+F136/30*Food_DB!$F$4+G136*Food_DB!$F$5+H136/100*Food_DB!$F$6+I136/100*Food_DB!$F$7+IFERROR(K136/100*VLOOKUP(J136,Food_DB!$A$2:$F$14,6,FALSE),0)+L136*Food_DB!$F$8</f>
        <v>178.15</v>
      </c>
      <c r="AA136">
        <v>0</v>
      </c>
      <c r="AB136">
        <v>0</v>
      </c>
      <c r="AC136">
        <v>0</v>
      </c>
      <c r="AD136">
        <v>3.5</v>
      </c>
      <c r="AE136">
        <f>Dashboard!$B$6*AA136+Dashboard!$B$6*4*AB136/60+Dashboard!$B$6*8*AC136/120+Dashboard!$B$6*7*AD136</f>
        <v>1960</v>
      </c>
      <c r="AF136">
        <f>Dashboard!$B$5</f>
        <v>1700</v>
      </c>
      <c r="AG136">
        <f t="shared" si="10"/>
        <v>4000</v>
      </c>
      <c r="AH136">
        <f t="shared" si="11"/>
        <v>-2612.5</v>
      </c>
    </row>
    <row r="137" spans="1:34">
      <c r="A137">
        <v>46313</v>
      </c>
      <c r="B137" t="s">
        <v>86</v>
      </c>
      <c r="C137" t="s">
        <v>84</v>
      </c>
      <c r="D137">
        <v>2</v>
      </c>
      <c r="E137">
        <v>400</v>
      </c>
      <c r="F137">
        <v>30</v>
      </c>
      <c r="G137">
        <v>1</v>
      </c>
      <c r="H137">
        <v>150</v>
      </c>
      <c r="I137">
        <v>250</v>
      </c>
      <c r="J137" t="s">
        <v>90</v>
      </c>
      <c r="K137">
        <v>250</v>
      </c>
      <c r="L137">
        <v>3</v>
      </c>
      <c r="M137">
        <v>0</v>
      </c>
      <c r="N137">
        <f>D137*Food_DB!$C$2</f>
        <v>150</v>
      </c>
      <c r="O137">
        <f>E137/100*Food_DB!$C$3</f>
        <v>260</v>
      </c>
      <c r="P137">
        <f>F137/30*Food_DB!$C$4</f>
        <v>111</v>
      </c>
      <c r="Q137">
        <f>G137*Food_DB!$C$5</f>
        <v>222</v>
      </c>
      <c r="R137">
        <f>H137/100*Food_DB!$C$6</f>
        <v>12</v>
      </c>
      <c r="S137">
        <f>I137/100*Food_DB!$C$7</f>
        <v>62.5</v>
      </c>
      <c r="T137">
        <f>IFERROR(K137/100*VLOOKUP(J137,Food_DB!$A$2:$F$14,3,FALSE),0)</f>
        <v>575</v>
      </c>
      <c r="U137">
        <f>L137*Food_DB!$C$8</f>
        <v>270</v>
      </c>
      <c r="V137">
        <f t="shared" si="8"/>
        <v>0</v>
      </c>
      <c r="W137">
        <f t="shared" si="9"/>
        <v>1662.5</v>
      </c>
      <c r="X137">
        <f>D137*Food_DB!$D$2+E137/100*Food_DB!$D$3+F137/30*Food_DB!$D$4+G137*Food_DB!$D$5+H137/100*Food_DB!$D$6+I137/100*Food_DB!$D$7+IFERROR(K137/100*VLOOKUP(J137,Food_DB!$A$2:$F$14,4,FALSE),0)+L137*Food_DB!$D$8</f>
        <v>87.999999999999986</v>
      </c>
      <c r="Y137">
        <f>D137*Food_DB!$E$2+E137/100*Food_DB!$E$3+F137/30*Food_DB!$E$4+G137*Food_DB!$E$5+H137/100*Food_DB!$E$6+I137/100*Food_DB!$E$7+IFERROR(K137/100*VLOOKUP(J137,Food_DB!$A$2:$F$14,5,FALSE),0)+L137*Food_DB!$E$8</f>
        <v>68.599999999999994</v>
      </c>
      <c r="Z137">
        <f>D137*Food_DB!$F$2+E137/100*Food_DB!$F$3+F137/30*Food_DB!$F$4+G137*Food_DB!$F$5+H137/100*Food_DB!$F$6+I137/100*Food_DB!$F$7+IFERROR(K137/100*VLOOKUP(J137,Food_DB!$A$2:$F$14,6,FALSE),0)+L137*Food_DB!$F$8</f>
        <v>178.15</v>
      </c>
      <c r="AA137">
        <v>0</v>
      </c>
      <c r="AB137">
        <v>0</v>
      </c>
      <c r="AC137">
        <v>0</v>
      </c>
      <c r="AD137">
        <v>3.5</v>
      </c>
      <c r="AE137">
        <f>Dashboard!$B$6*AA137+Dashboard!$B$6*4*AB137/60+Dashboard!$B$6*8*AC137/120+Dashboard!$B$6*7*AD137</f>
        <v>1960</v>
      </c>
      <c r="AF137">
        <f>Dashboard!$B$5</f>
        <v>1700</v>
      </c>
      <c r="AG137">
        <f t="shared" si="10"/>
        <v>4000</v>
      </c>
      <c r="AH137">
        <f t="shared" si="11"/>
        <v>-2337.5</v>
      </c>
    </row>
    <row r="138" spans="1:34">
      <c r="A138">
        <v>46314</v>
      </c>
      <c r="B138" t="s">
        <v>88</v>
      </c>
      <c r="C138" t="s">
        <v>89</v>
      </c>
      <c r="D138">
        <v>2</v>
      </c>
      <c r="E138">
        <v>400</v>
      </c>
      <c r="F138">
        <v>30</v>
      </c>
      <c r="G138">
        <v>1</v>
      </c>
      <c r="H138">
        <v>150</v>
      </c>
      <c r="I138">
        <v>250</v>
      </c>
      <c r="J138" t="s">
        <v>82</v>
      </c>
      <c r="K138">
        <v>250</v>
      </c>
      <c r="L138">
        <v>3</v>
      </c>
      <c r="M138">
        <v>0</v>
      </c>
      <c r="N138">
        <f>D138*Food_DB!$C$2</f>
        <v>150</v>
      </c>
      <c r="O138">
        <f>E138/100*Food_DB!$C$3</f>
        <v>260</v>
      </c>
      <c r="P138">
        <f>F138/30*Food_DB!$C$4</f>
        <v>111</v>
      </c>
      <c r="Q138">
        <f>G138*Food_DB!$C$5</f>
        <v>222</v>
      </c>
      <c r="R138">
        <f>H138/100*Food_DB!$C$6</f>
        <v>12</v>
      </c>
      <c r="S138">
        <f>I138/100*Food_DB!$C$7</f>
        <v>62.5</v>
      </c>
      <c r="T138">
        <f>IFERROR(K138/100*VLOOKUP(J138,Food_DB!$A$2:$F$14,3,FALSE),0)</f>
        <v>550</v>
      </c>
      <c r="U138">
        <f>L138*Food_DB!$C$8</f>
        <v>270</v>
      </c>
      <c r="V138">
        <f t="shared" si="8"/>
        <v>0</v>
      </c>
      <c r="W138">
        <f t="shared" si="9"/>
        <v>1637.5</v>
      </c>
      <c r="X138">
        <f>D138*Food_DB!$D$2+E138/100*Food_DB!$D$3+F138/30*Food_DB!$D$4+G138*Food_DB!$D$5+H138/100*Food_DB!$D$6+I138/100*Food_DB!$D$7+IFERROR(K138/100*VLOOKUP(J138,Food_DB!$A$2:$F$14,4,FALSE),0)+L138*Food_DB!$D$8</f>
        <v>92.999999999999986</v>
      </c>
      <c r="Y138">
        <f>D138*Food_DB!$E$2+E138/100*Food_DB!$E$3+F138/30*Food_DB!$E$4+G138*Food_DB!$E$5+H138/100*Food_DB!$E$6+I138/100*Food_DB!$E$7+IFERROR(K138/100*VLOOKUP(J138,Food_DB!$A$2:$F$14,5,FALSE),0)+L138*Food_DB!$E$8</f>
        <v>63.6</v>
      </c>
      <c r="Z138">
        <f>D138*Food_DB!$F$2+E138/100*Food_DB!$F$3+F138/30*Food_DB!$F$4+G138*Food_DB!$F$5+H138/100*Food_DB!$F$6+I138/100*Food_DB!$F$7+IFERROR(K138/100*VLOOKUP(J138,Food_DB!$A$2:$F$14,6,FALSE),0)+L138*Food_DB!$F$8</f>
        <v>178.15</v>
      </c>
      <c r="AA138">
        <v>6.5</v>
      </c>
      <c r="AB138">
        <v>30</v>
      </c>
      <c r="AC138">
        <v>0</v>
      </c>
      <c r="AD138">
        <v>0</v>
      </c>
      <c r="AE138">
        <f>Dashboard!$B$6*AA138+Dashboard!$B$6*4*AB138/60+Dashboard!$B$6*8*AC138/120+Dashboard!$B$6*7*AD138</f>
        <v>680</v>
      </c>
      <c r="AF138">
        <f>Dashboard!$B$5</f>
        <v>1700</v>
      </c>
      <c r="AG138">
        <f t="shared" si="10"/>
        <v>2720</v>
      </c>
      <c r="AH138">
        <f t="shared" si="11"/>
        <v>-1082.5</v>
      </c>
    </row>
    <row r="139" spans="1:34">
      <c r="A139">
        <v>46315</v>
      </c>
      <c r="B139" t="s">
        <v>91</v>
      </c>
      <c r="C139" t="s">
        <v>89</v>
      </c>
      <c r="D139">
        <v>2</v>
      </c>
      <c r="E139">
        <v>400</v>
      </c>
      <c r="F139">
        <v>30</v>
      </c>
      <c r="G139">
        <v>1</v>
      </c>
      <c r="H139">
        <v>150</v>
      </c>
      <c r="I139">
        <v>250</v>
      </c>
      <c r="J139" t="s">
        <v>85</v>
      </c>
      <c r="K139">
        <v>250</v>
      </c>
      <c r="L139">
        <v>3</v>
      </c>
      <c r="M139">
        <v>0</v>
      </c>
      <c r="N139">
        <f>D139*Food_DB!$C$2</f>
        <v>150</v>
      </c>
      <c r="O139">
        <f>E139/100*Food_DB!$C$3</f>
        <v>260</v>
      </c>
      <c r="P139">
        <f>F139/30*Food_DB!$C$4</f>
        <v>111</v>
      </c>
      <c r="Q139">
        <f>G139*Food_DB!$C$5</f>
        <v>222</v>
      </c>
      <c r="R139">
        <f>H139/100*Food_DB!$C$6</f>
        <v>12</v>
      </c>
      <c r="S139">
        <f>I139/100*Food_DB!$C$7</f>
        <v>62.5</v>
      </c>
      <c r="T139">
        <f>IFERROR(K139/100*VLOOKUP(J139,Food_DB!$A$2:$F$14,3,FALSE),0)</f>
        <v>450</v>
      </c>
      <c r="U139">
        <f>L139*Food_DB!$C$8</f>
        <v>270</v>
      </c>
      <c r="V139">
        <f t="shared" si="8"/>
        <v>0</v>
      </c>
      <c r="W139">
        <f t="shared" si="9"/>
        <v>1537.5</v>
      </c>
      <c r="X139">
        <f>D139*Food_DB!$D$2+E139/100*Food_DB!$D$3+F139/30*Food_DB!$D$4+G139*Food_DB!$D$5+H139/100*Food_DB!$D$6+I139/100*Food_DB!$D$7+IFERROR(K139/100*VLOOKUP(J139,Food_DB!$A$2:$F$14,4,FALSE),0)+L139*Food_DB!$D$8</f>
        <v>92.999999999999986</v>
      </c>
      <c r="Y139">
        <f>D139*Food_DB!$E$2+E139/100*Food_DB!$E$3+F139/30*Food_DB!$E$4+G139*Food_DB!$E$5+H139/100*Food_DB!$E$6+I139/100*Food_DB!$E$7+IFERROR(K139/100*VLOOKUP(J139,Food_DB!$A$2:$F$14,5,FALSE),0)+L139*Food_DB!$E$8</f>
        <v>51.1</v>
      </c>
      <c r="Z139">
        <f>D139*Food_DB!$F$2+E139/100*Food_DB!$F$3+F139/30*Food_DB!$F$4+G139*Food_DB!$F$5+H139/100*Food_DB!$F$6+I139/100*Food_DB!$F$7+IFERROR(K139/100*VLOOKUP(J139,Food_DB!$A$2:$F$14,6,FALSE),0)+L139*Food_DB!$F$8</f>
        <v>178.15</v>
      </c>
      <c r="AA139">
        <v>6.5</v>
      </c>
      <c r="AB139">
        <v>30</v>
      </c>
      <c r="AC139">
        <v>0</v>
      </c>
      <c r="AD139">
        <v>0</v>
      </c>
      <c r="AE139">
        <f>Dashboard!$B$6*AA139+Dashboard!$B$6*4*AB139/60+Dashboard!$B$6*8*AC139/120+Dashboard!$B$6*7*AD139</f>
        <v>680</v>
      </c>
      <c r="AF139">
        <f>Dashboard!$B$5</f>
        <v>1700</v>
      </c>
      <c r="AG139">
        <f t="shared" si="10"/>
        <v>2720</v>
      </c>
      <c r="AH139">
        <f t="shared" si="11"/>
        <v>-1182.5</v>
      </c>
    </row>
    <row r="140" spans="1:34">
      <c r="A140">
        <v>46316</v>
      </c>
      <c r="B140" t="s">
        <v>92</v>
      </c>
      <c r="C140" t="s">
        <v>89</v>
      </c>
      <c r="D140">
        <v>2</v>
      </c>
      <c r="E140">
        <v>400</v>
      </c>
      <c r="F140">
        <v>30</v>
      </c>
      <c r="G140">
        <v>1</v>
      </c>
      <c r="H140">
        <v>150</v>
      </c>
      <c r="I140">
        <v>250</v>
      </c>
      <c r="J140" t="s">
        <v>87</v>
      </c>
      <c r="K140">
        <v>250</v>
      </c>
      <c r="L140">
        <v>3</v>
      </c>
      <c r="M140">
        <v>0</v>
      </c>
      <c r="N140">
        <f>D140*Food_DB!$C$2</f>
        <v>150</v>
      </c>
      <c r="O140">
        <f>E140/100*Food_DB!$C$3</f>
        <v>260</v>
      </c>
      <c r="P140">
        <f>F140/30*Food_DB!$C$4</f>
        <v>111</v>
      </c>
      <c r="Q140">
        <f>G140*Food_DB!$C$5</f>
        <v>222</v>
      </c>
      <c r="R140">
        <f>H140/100*Food_DB!$C$6</f>
        <v>12</v>
      </c>
      <c r="S140">
        <f>I140/100*Food_DB!$C$7</f>
        <v>62.5</v>
      </c>
      <c r="T140">
        <f>IFERROR(K140/100*VLOOKUP(J140,Food_DB!$A$2:$F$14,3,FALSE),0)</f>
        <v>300</v>
      </c>
      <c r="U140">
        <f>L140*Food_DB!$C$8</f>
        <v>270</v>
      </c>
      <c r="V140">
        <f t="shared" si="8"/>
        <v>0</v>
      </c>
      <c r="W140">
        <f t="shared" si="9"/>
        <v>1387.5</v>
      </c>
      <c r="X140">
        <f>D140*Food_DB!$D$2+E140/100*Food_DB!$D$3+F140/30*Food_DB!$D$4+G140*Food_DB!$D$5+H140/100*Food_DB!$D$6+I140/100*Food_DB!$D$7+IFERROR(K140/100*VLOOKUP(J140,Food_DB!$A$2:$F$14,4,FALSE),0)+L140*Food_DB!$D$8</f>
        <v>100.49999999999999</v>
      </c>
      <c r="Y140">
        <f>D140*Food_DB!$E$2+E140/100*Food_DB!$E$3+F140/30*Food_DB!$E$4+G140*Food_DB!$E$5+H140/100*Food_DB!$E$6+I140/100*Food_DB!$E$7+IFERROR(K140/100*VLOOKUP(J140,Food_DB!$A$2:$F$14,5,FALSE),0)+L140*Food_DB!$E$8</f>
        <v>32.35</v>
      </c>
      <c r="Z140">
        <f>D140*Food_DB!$F$2+E140/100*Food_DB!$F$3+F140/30*Food_DB!$F$4+G140*Food_DB!$F$5+H140/100*Food_DB!$F$6+I140/100*Food_DB!$F$7+IFERROR(K140/100*VLOOKUP(J140,Food_DB!$A$2:$F$14,6,FALSE),0)+L140*Food_DB!$F$8</f>
        <v>178.15</v>
      </c>
      <c r="AA140">
        <v>6.5</v>
      </c>
      <c r="AB140">
        <v>30</v>
      </c>
      <c r="AC140">
        <v>0</v>
      </c>
      <c r="AD140">
        <v>0</v>
      </c>
      <c r="AE140">
        <f>Dashboard!$B$6*AA140+Dashboard!$B$6*4*AB140/60+Dashboard!$B$6*8*AC140/120+Dashboard!$B$6*7*AD140</f>
        <v>680</v>
      </c>
      <c r="AF140">
        <f>Dashboard!$B$5</f>
        <v>1700</v>
      </c>
      <c r="AG140">
        <f t="shared" si="10"/>
        <v>2720</v>
      </c>
      <c r="AH140">
        <f t="shared" si="11"/>
        <v>-1332.5</v>
      </c>
    </row>
    <row r="141" spans="1:34">
      <c r="A141">
        <v>46317</v>
      </c>
      <c r="B141" t="s">
        <v>93</v>
      </c>
      <c r="C141" t="s">
        <v>89</v>
      </c>
      <c r="D141">
        <v>2</v>
      </c>
      <c r="E141">
        <v>400</v>
      </c>
      <c r="F141">
        <v>30</v>
      </c>
      <c r="G141">
        <v>1</v>
      </c>
      <c r="H141">
        <v>150</v>
      </c>
      <c r="I141">
        <v>250</v>
      </c>
      <c r="J141" t="s">
        <v>90</v>
      </c>
      <c r="K141">
        <v>250</v>
      </c>
      <c r="L141">
        <v>3</v>
      </c>
      <c r="M141">
        <v>0</v>
      </c>
      <c r="N141">
        <f>D141*Food_DB!$C$2</f>
        <v>150</v>
      </c>
      <c r="O141">
        <f>E141/100*Food_DB!$C$3</f>
        <v>260</v>
      </c>
      <c r="P141">
        <f>F141/30*Food_DB!$C$4</f>
        <v>111</v>
      </c>
      <c r="Q141">
        <f>G141*Food_DB!$C$5</f>
        <v>222</v>
      </c>
      <c r="R141">
        <f>H141/100*Food_DB!$C$6</f>
        <v>12</v>
      </c>
      <c r="S141">
        <f>I141/100*Food_DB!$C$7</f>
        <v>62.5</v>
      </c>
      <c r="T141">
        <f>IFERROR(K141/100*VLOOKUP(J141,Food_DB!$A$2:$F$14,3,FALSE),0)</f>
        <v>575</v>
      </c>
      <c r="U141">
        <f>L141*Food_DB!$C$8</f>
        <v>270</v>
      </c>
      <c r="V141">
        <f t="shared" si="8"/>
        <v>0</v>
      </c>
      <c r="W141">
        <f t="shared" si="9"/>
        <v>1662.5</v>
      </c>
      <c r="X141">
        <f>D141*Food_DB!$D$2+E141/100*Food_DB!$D$3+F141/30*Food_DB!$D$4+G141*Food_DB!$D$5+H141/100*Food_DB!$D$6+I141/100*Food_DB!$D$7+IFERROR(K141/100*VLOOKUP(J141,Food_DB!$A$2:$F$14,4,FALSE),0)+L141*Food_DB!$D$8</f>
        <v>87.999999999999986</v>
      </c>
      <c r="Y141">
        <f>D141*Food_DB!$E$2+E141/100*Food_DB!$E$3+F141/30*Food_DB!$E$4+G141*Food_DB!$E$5+H141/100*Food_DB!$E$6+I141/100*Food_DB!$E$7+IFERROR(K141/100*VLOOKUP(J141,Food_DB!$A$2:$F$14,5,FALSE),0)+L141*Food_DB!$E$8</f>
        <v>68.599999999999994</v>
      </c>
      <c r="Z141">
        <f>D141*Food_DB!$F$2+E141/100*Food_DB!$F$3+F141/30*Food_DB!$F$4+G141*Food_DB!$F$5+H141/100*Food_DB!$F$6+I141/100*Food_DB!$F$7+IFERROR(K141/100*VLOOKUP(J141,Food_DB!$A$2:$F$14,6,FALSE),0)+L141*Food_DB!$F$8</f>
        <v>178.15</v>
      </c>
      <c r="AA141">
        <v>6.5</v>
      </c>
      <c r="AB141">
        <v>30</v>
      </c>
      <c r="AC141">
        <v>0</v>
      </c>
      <c r="AD141">
        <v>0</v>
      </c>
      <c r="AE141">
        <f>Dashboard!$B$6*AA141+Dashboard!$B$6*4*AB141/60+Dashboard!$B$6*8*AC141/120+Dashboard!$B$6*7*AD141</f>
        <v>680</v>
      </c>
      <c r="AF141">
        <f>Dashboard!$B$5</f>
        <v>1700</v>
      </c>
      <c r="AG141">
        <f t="shared" si="10"/>
        <v>2720</v>
      </c>
      <c r="AH141">
        <f t="shared" si="11"/>
        <v>-1057.5</v>
      </c>
    </row>
    <row r="142" spans="1:34">
      <c r="A142">
        <v>46318</v>
      </c>
      <c r="B142" t="s">
        <v>80</v>
      </c>
      <c r="C142" t="s">
        <v>81</v>
      </c>
      <c r="D142">
        <v>2</v>
      </c>
      <c r="E142">
        <v>400</v>
      </c>
      <c r="F142">
        <v>30</v>
      </c>
      <c r="G142">
        <v>1</v>
      </c>
      <c r="H142">
        <v>150</v>
      </c>
      <c r="I142">
        <v>250</v>
      </c>
      <c r="J142" t="s">
        <v>82</v>
      </c>
      <c r="K142">
        <v>250</v>
      </c>
      <c r="L142">
        <v>3</v>
      </c>
      <c r="M142">
        <v>1000</v>
      </c>
      <c r="N142">
        <f>D142*Food_DB!$C$2</f>
        <v>150</v>
      </c>
      <c r="O142">
        <f>E142/100*Food_DB!$C$3</f>
        <v>260</v>
      </c>
      <c r="P142">
        <f>F142/30*Food_DB!$C$4</f>
        <v>111</v>
      </c>
      <c r="Q142">
        <f>G142*Food_DB!$C$5</f>
        <v>222</v>
      </c>
      <c r="R142">
        <f>H142/100*Food_DB!$C$6</f>
        <v>12</v>
      </c>
      <c r="S142">
        <f>I142/100*Food_DB!$C$7</f>
        <v>62.5</v>
      </c>
      <c r="T142">
        <f>IFERROR(K142/100*VLOOKUP(J142,Food_DB!$A$2:$F$14,3,FALSE),0)</f>
        <v>550</v>
      </c>
      <c r="U142">
        <f>L142*Food_DB!$C$8</f>
        <v>270</v>
      </c>
      <c r="V142">
        <f t="shared" si="8"/>
        <v>1000</v>
      </c>
      <c r="W142">
        <f t="shared" si="9"/>
        <v>2637.5</v>
      </c>
      <c r="X142">
        <f>D142*Food_DB!$D$2+E142/100*Food_DB!$D$3+F142/30*Food_DB!$D$4+G142*Food_DB!$D$5+H142/100*Food_DB!$D$6+I142/100*Food_DB!$D$7+IFERROR(K142/100*VLOOKUP(J142,Food_DB!$A$2:$F$14,4,FALSE),0)+L142*Food_DB!$D$8</f>
        <v>92.999999999999986</v>
      </c>
      <c r="Y142">
        <f>D142*Food_DB!$E$2+E142/100*Food_DB!$E$3+F142/30*Food_DB!$E$4+G142*Food_DB!$E$5+H142/100*Food_DB!$E$6+I142/100*Food_DB!$E$7+IFERROR(K142/100*VLOOKUP(J142,Food_DB!$A$2:$F$14,5,FALSE),0)+L142*Food_DB!$E$8</f>
        <v>63.6</v>
      </c>
      <c r="Z142">
        <f>D142*Food_DB!$F$2+E142/100*Food_DB!$F$3+F142/30*Food_DB!$F$4+G142*Food_DB!$F$5+H142/100*Food_DB!$F$6+I142/100*Food_DB!$F$7+IFERROR(K142/100*VLOOKUP(J142,Food_DB!$A$2:$F$14,6,FALSE),0)+L142*Food_DB!$F$8</f>
        <v>178.15</v>
      </c>
      <c r="AA142">
        <v>6.5</v>
      </c>
      <c r="AB142">
        <v>30</v>
      </c>
      <c r="AC142">
        <v>0</v>
      </c>
      <c r="AD142">
        <v>0</v>
      </c>
      <c r="AE142">
        <f>Dashboard!$B$6*AA142+Dashboard!$B$6*4*AB142/60+Dashboard!$B$6*8*AC142/120+Dashboard!$B$6*7*AD142</f>
        <v>680</v>
      </c>
      <c r="AF142">
        <f>Dashboard!$B$5</f>
        <v>1700</v>
      </c>
      <c r="AG142">
        <f t="shared" si="10"/>
        <v>2720</v>
      </c>
      <c r="AH142">
        <f t="shared" si="11"/>
        <v>-82.5</v>
      </c>
    </row>
    <row r="143" spans="1:34">
      <c r="A143">
        <v>46319</v>
      </c>
      <c r="B143" t="s">
        <v>83</v>
      </c>
      <c r="C143" t="s">
        <v>84</v>
      </c>
      <c r="D143">
        <v>2</v>
      </c>
      <c r="E143">
        <v>400</v>
      </c>
      <c r="F143">
        <v>30</v>
      </c>
      <c r="G143">
        <v>1</v>
      </c>
      <c r="H143">
        <v>150</v>
      </c>
      <c r="I143">
        <v>250</v>
      </c>
      <c r="J143" t="s">
        <v>85</v>
      </c>
      <c r="K143">
        <v>250</v>
      </c>
      <c r="L143">
        <v>3</v>
      </c>
      <c r="M143">
        <v>0</v>
      </c>
      <c r="N143">
        <f>D143*Food_DB!$C$2</f>
        <v>150</v>
      </c>
      <c r="O143">
        <f>E143/100*Food_DB!$C$3</f>
        <v>260</v>
      </c>
      <c r="P143">
        <f>F143/30*Food_DB!$C$4</f>
        <v>111</v>
      </c>
      <c r="Q143">
        <f>G143*Food_DB!$C$5</f>
        <v>222</v>
      </c>
      <c r="R143">
        <f>H143/100*Food_DB!$C$6</f>
        <v>12</v>
      </c>
      <c r="S143">
        <f>I143/100*Food_DB!$C$7</f>
        <v>62.5</v>
      </c>
      <c r="T143">
        <f>IFERROR(K143/100*VLOOKUP(J143,Food_DB!$A$2:$F$14,3,FALSE),0)</f>
        <v>450</v>
      </c>
      <c r="U143">
        <f>L143*Food_DB!$C$8</f>
        <v>270</v>
      </c>
      <c r="V143">
        <f t="shared" si="8"/>
        <v>0</v>
      </c>
      <c r="W143">
        <f t="shared" si="9"/>
        <v>1537.5</v>
      </c>
      <c r="X143">
        <f>D143*Food_DB!$D$2+E143/100*Food_DB!$D$3+F143/30*Food_DB!$D$4+G143*Food_DB!$D$5+H143/100*Food_DB!$D$6+I143/100*Food_DB!$D$7+IFERROR(K143/100*VLOOKUP(J143,Food_DB!$A$2:$F$14,4,FALSE),0)+L143*Food_DB!$D$8</f>
        <v>92.999999999999986</v>
      </c>
      <c r="Y143">
        <f>D143*Food_DB!$E$2+E143/100*Food_DB!$E$3+F143/30*Food_DB!$E$4+G143*Food_DB!$E$5+H143/100*Food_DB!$E$6+I143/100*Food_DB!$E$7+IFERROR(K143/100*VLOOKUP(J143,Food_DB!$A$2:$F$14,5,FALSE),0)+L143*Food_DB!$E$8</f>
        <v>51.1</v>
      </c>
      <c r="Z143">
        <f>D143*Food_DB!$F$2+E143/100*Food_DB!$F$3+F143/30*Food_DB!$F$4+G143*Food_DB!$F$5+H143/100*Food_DB!$F$6+I143/100*Food_DB!$F$7+IFERROR(K143/100*VLOOKUP(J143,Food_DB!$A$2:$F$14,6,FALSE),0)+L143*Food_DB!$F$8</f>
        <v>178.15</v>
      </c>
      <c r="AA143">
        <v>0</v>
      </c>
      <c r="AB143">
        <v>0</v>
      </c>
      <c r="AC143">
        <v>0</v>
      </c>
      <c r="AD143">
        <v>3.5</v>
      </c>
      <c r="AE143">
        <f>Dashboard!$B$6*AA143+Dashboard!$B$6*4*AB143/60+Dashboard!$B$6*8*AC143/120+Dashboard!$B$6*7*AD143</f>
        <v>1960</v>
      </c>
      <c r="AF143">
        <f>Dashboard!$B$5</f>
        <v>1700</v>
      </c>
      <c r="AG143">
        <f t="shared" si="10"/>
        <v>4000</v>
      </c>
      <c r="AH143">
        <f t="shared" si="11"/>
        <v>-2462.5</v>
      </c>
    </row>
    <row r="144" spans="1:34">
      <c r="A144">
        <v>46320</v>
      </c>
      <c r="B144" t="s">
        <v>86</v>
      </c>
      <c r="C144" t="s">
        <v>84</v>
      </c>
      <c r="D144">
        <v>2</v>
      </c>
      <c r="E144">
        <v>400</v>
      </c>
      <c r="F144">
        <v>30</v>
      </c>
      <c r="G144">
        <v>1</v>
      </c>
      <c r="H144">
        <v>150</v>
      </c>
      <c r="I144">
        <v>250</v>
      </c>
      <c r="J144" t="s">
        <v>87</v>
      </c>
      <c r="K144">
        <v>250</v>
      </c>
      <c r="L144">
        <v>3</v>
      </c>
      <c r="M144">
        <v>0</v>
      </c>
      <c r="N144">
        <f>D144*Food_DB!$C$2</f>
        <v>150</v>
      </c>
      <c r="O144">
        <f>E144/100*Food_DB!$C$3</f>
        <v>260</v>
      </c>
      <c r="P144">
        <f>F144/30*Food_DB!$C$4</f>
        <v>111</v>
      </c>
      <c r="Q144">
        <f>G144*Food_DB!$C$5</f>
        <v>222</v>
      </c>
      <c r="R144">
        <f>H144/100*Food_DB!$C$6</f>
        <v>12</v>
      </c>
      <c r="S144">
        <f>I144/100*Food_DB!$C$7</f>
        <v>62.5</v>
      </c>
      <c r="T144">
        <f>IFERROR(K144/100*VLOOKUP(J144,Food_DB!$A$2:$F$14,3,FALSE),0)</f>
        <v>300</v>
      </c>
      <c r="U144">
        <f>L144*Food_DB!$C$8</f>
        <v>270</v>
      </c>
      <c r="V144">
        <f t="shared" si="8"/>
        <v>0</v>
      </c>
      <c r="W144">
        <f t="shared" si="9"/>
        <v>1387.5</v>
      </c>
      <c r="X144">
        <f>D144*Food_DB!$D$2+E144/100*Food_DB!$D$3+F144/30*Food_DB!$D$4+G144*Food_DB!$D$5+H144/100*Food_DB!$D$6+I144/100*Food_DB!$D$7+IFERROR(K144/100*VLOOKUP(J144,Food_DB!$A$2:$F$14,4,FALSE),0)+L144*Food_DB!$D$8</f>
        <v>100.49999999999999</v>
      </c>
      <c r="Y144">
        <f>D144*Food_DB!$E$2+E144/100*Food_DB!$E$3+F144/30*Food_DB!$E$4+G144*Food_DB!$E$5+H144/100*Food_DB!$E$6+I144/100*Food_DB!$E$7+IFERROR(K144/100*VLOOKUP(J144,Food_DB!$A$2:$F$14,5,FALSE),0)+L144*Food_DB!$E$8</f>
        <v>32.35</v>
      </c>
      <c r="Z144">
        <f>D144*Food_DB!$F$2+E144/100*Food_DB!$F$3+F144/30*Food_DB!$F$4+G144*Food_DB!$F$5+H144/100*Food_DB!$F$6+I144/100*Food_DB!$F$7+IFERROR(K144/100*VLOOKUP(J144,Food_DB!$A$2:$F$14,6,FALSE),0)+L144*Food_DB!$F$8</f>
        <v>178.15</v>
      </c>
      <c r="AA144">
        <v>0</v>
      </c>
      <c r="AB144">
        <v>0</v>
      </c>
      <c r="AC144">
        <v>0</v>
      </c>
      <c r="AD144">
        <v>3.5</v>
      </c>
      <c r="AE144">
        <f>Dashboard!$B$6*AA144+Dashboard!$B$6*4*AB144/60+Dashboard!$B$6*8*AC144/120+Dashboard!$B$6*7*AD144</f>
        <v>1960</v>
      </c>
      <c r="AF144">
        <f>Dashboard!$B$5</f>
        <v>1700</v>
      </c>
      <c r="AG144">
        <f t="shared" si="10"/>
        <v>4000</v>
      </c>
      <c r="AH144">
        <f t="shared" si="11"/>
        <v>-2612.5</v>
      </c>
    </row>
    <row r="145" spans="1:34">
      <c r="A145">
        <v>46321</v>
      </c>
      <c r="B145" t="s">
        <v>88</v>
      </c>
      <c r="C145" t="s">
        <v>89</v>
      </c>
      <c r="D145">
        <v>2</v>
      </c>
      <c r="E145">
        <v>400</v>
      </c>
      <c r="F145">
        <v>30</v>
      </c>
      <c r="G145">
        <v>1</v>
      </c>
      <c r="H145">
        <v>150</v>
      </c>
      <c r="I145">
        <v>250</v>
      </c>
      <c r="J145" t="s">
        <v>90</v>
      </c>
      <c r="K145">
        <v>250</v>
      </c>
      <c r="L145">
        <v>3</v>
      </c>
      <c r="M145">
        <v>0</v>
      </c>
      <c r="N145">
        <f>D145*Food_DB!$C$2</f>
        <v>150</v>
      </c>
      <c r="O145">
        <f>E145/100*Food_DB!$C$3</f>
        <v>260</v>
      </c>
      <c r="P145">
        <f>F145/30*Food_DB!$C$4</f>
        <v>111</v>
      </c>
      <c r="Q145">
        <f>G145*Food_DB!$C$5</f>
        <v>222</v>
      </c>
      <c r="R145">
        <f>H145/100*Food_DB!$C$6</f>
        <v>12</v>
      </c>
      <c r="S145">
        <f>I145/100*Food_DB!$C$7</f>
        <v>62.5</v>
      </c>
      <c r="T145">
        <f>IFERROR(K145/100*VLOOKUP(J145,Food_DB!$A$2:$F$14,3,FALSE),0)</f>
        <v>575</v>
      </c>
      <c r="U145">
        <f>L145*Food_DB!$C$8</f>
        <v>270</v>
      </c>
      <c r="V145">
        <f t="shared" si="8"/>
        <v>0</v>
      </c>
      <c r="W145">
        <f t="shared" si="9"/>
        <v>1662.5</v>
      </c>
      <c r="X145">
        <f>D145*Food_DB!$D$2+E145/100*Food_DB!$D$3+F145/30*Food_DB!$D$4+G145*Food_DB!$D$5+H145/100*Food_DB!$D$6+I145/100*Food_DB!$D$7+IFERROR(K145/100*VLOOKUP(J145,Food_DB!$A$2:$F$14,4,FALSE),0)+L145*Food_DB!$D$8</f>
        <v>87.999999999999986</v>
      </c>
      <c r="Y145">
        <f>D145*Food_DB!$E$2+E145/100*Food_DB!$E$3+F145/30*Food_DB!$E$4+G145*Food_DB!$E$5+H145/100*Food_DB!$E$6+I145/100*Food_DB!$E$7+IFERROR(K145/100*VLOOKUP(J145,Food_DB!$A$2:$F$14,5,FALSE),0)+L145*Food_DB!$E$8</f>
        <v>68.599999999999994</v>
      </c>
      <c r="Z145">
        <f>D145*Food_DB!$F$2+E145/100*Food_DB!$F$3+F145/30*Food_DB!$F$4+G145*Food_DB!$F$5+H145/100*Food_DB!$F$6+I145/100*Food_DB!$F$7+IFERROR(K145/100*VLOOKUP(J145,Food_DB!$A$2:$F$14,6,FALSE),0)+L145*Food_DB!$F$8</f>
        <v>178.15</v>
      </c>
      <c r="AA145">
        <v>6.5</v>
      </c>
      <c r="AB145">
        <v>30</v>
      </c>
      <c r="AC145">
        <v>0</v>
      </c>
      <c r="AD145">
        <v>0</v>
      </c>
      <c r="AE145">
        <f>Dashboard!$B$6*AA145+Dashboard!$B$6*4*AB145/60+Dashboard!$B$6*8*AC145/120+Dashboard!$B$6*7*AD145</f>
        <v>680</v>
      </c>
      <c r="AF145">
        <f>Dashboard!$B$5</f>
        <v>1700</v>
      </c>
      <c r="AG145">
        <f t="shared" si="10"/>
        <v>2720</v>
      </c>
      <c r="AH145">
        <f t="shared" si="11"/>
        <v>-1057.5</v>
      </c>
    </row>
    <row r="146" spans="1:34">
      <c r="A146">
        <v>46322</v>
      </c>
      <c r="B146" t="s">
        <v>91</v>
      </c>
      <c r="C146" t="s">
        <v>89</v>
      </c>
      <c r="D146">
        <v>2</v>
      </c>
      <c r="E146">
        <v>400</v>
      </c>
      <c r="F146">
        <v>30</v>
      </c>
      <c r="G146">
        <v>1</v>
      </c>
      <c r="H146">
        <v>150</v>
      </c>
      <c r="I146">
        <v>250</v>
      </c>
      <c r="J146" t="s">
        <v>82</v>
      </c>
      <c r="K146">
        <v>250</v>
      </c>
      <c r="L146">
        <v>3</v>
      </c>
      <c r="M146">
        <v>0</v>
      </c>
      <c r="N146">
        <f>D146*Food_DB!$C$2</f>
        <v>150</v>
      </c>
      <c r="O146">
        <f>E146/100*Food_DB!$C$3</f>
        <v>260</v>
      </c>
      <c r="P146">
        <f>F146/30*Food_DB!$C$4</f>
        <v>111</v>
      </c>
      <c r="Q146">
        <f>G146*Food_DB!$C$5</f>
        <v>222</v>
      </c>
      <c r="R146">
        <f>H146/100*Food_DB!$C$6</f>
        <v>12</v>
      </c>
      <c r="S146">
        <f>I146/100*Food_DB!$C$7</f>
        <v>62.5</v>
      </c>
      <c r="T146">
        <f>IFERROR(K146/100*VLOOKUP(J146,Food_DB!$A$2:$F$14,3,FALSE),0)</f>
        <v>550</v>
      </c>
      <c r="U146">
        <f>L146*Food_DB!$C$8</f>
        <v>270</v>
      </c>
      <c r="V146">
        <f t="shared" si="8"/>
        <v>0</v>
      </c>
      <c r="W146">
        <f t="shared" si="9"/>
        <v>1637.5</v>
      </c>
      <c r="X146">
        <f>D146*Food_DB!$D$2+E146/100*Food_DB!$D$3+F146/30*Food_DB!$D$4+G146*Food_DB!$D$5+H146/100*Food_DB!$D$6+I146/100*Food_DB!$D$7+IFERROR(K146/100*VLOOKUP(J146,Food_DB!$A$2:$F$14,4,FALSE),0)+L146*Food_DB!$D$8</f>
        <v>92.999999999999986</v>
      </c>
      <c r="Y146">
        <f>D146*Food_DB!$E$2+E146/100*Food_DB!$E$3+F146/30*Food_DB!$E$4+G146*Food_DB!$E$5+H146/100*Food_DB!$E$6+I146/100*Food_DB!$E$7+IFERROR(K146/100*VLOOKUP(J146,Food_DB!$A$2:$F$14,5,FALSE),0)+L146*Food_DB!$E$8</f>
        <v>63.6</v>
      </c>
      <c r="Z146">
        <f>D146*Food_DB!$F$2+E146/100*Food_DB!$F$3+F146/30*Food_DB!$F$4+G146*Food_DB!$F$5+H146/100*Food_DB!$F$6+I146/100*Food_DB!$F$7+IFERROR(K146/100*VLOOKUP(J146,Food_DB!$A$2:$F$14,6,FALSE),0)+L146*Food_DB!$F$8</f>
        <v>178.15</v>
      </c>
      <c r="AA146">
        <v>6.5</v>
      </c>
      <c r="AB146">
        <v>30</v>
      </c>
      <c r="AC146">
        <v>0</v>
      </c>
      <c r="AD146">
        <v>0</v>
      </c>
      <c r="AE146">
        <f>Dashboard!$B$6*AA146+Dashboard!$B$6*4*AB146/60+Dashboard!$B$6*8*AC146/120+Dashboard!$B$6*7*AD146</f>
        <v>680</v>
      </c>
      <c r="AF146">
        <f>Dashboard!$B$5</f>
        <v>1700</v>
      </c>
      <c r="AG146">
        <f t="shared" si="10"/>
        <v>2720</v>
      </c>
      <c r="AH146">
        <f t="shared" si="11"/>
        <v>-1082.5</v>
      </c>
    </row>
    <row r="147" spans="1:34">
      <c r="A147">
        <v>46323</v>
      </c>
      <c r="B147" t="s">
        <v>92</v>
      </c>
      <c r="C147" t="s">
        <v>89</v>
      </c>
      <c r="D147">
        <v>2</v>
      </c>
      <c r="E147">
        <v>400</v>
      </c>
      <c r="F147">
        <v>30</v>
      </c>
      <c r="G147">
        <v>1</v>
      </c>
      <c r="H147">
        <v>150</v>
      </c>
      <c r="I147">
        <v>250</v>
      </c>
      <c r="J147" t="s">
        <v>85</v>
      </c>
      <c r="K147">
        <v>250</v>
      </c>
      <c r="L147">
        <v>3</v>
      </c>
      <c r="M147">
        <v>0</v>
      </c>
      <c r="N147">
        <f>D147*Food_DB!$C$2</f>
        <v>150</v>
      </c>
      <c r="O147">
        <f>E147/100*Food_DB!$C$3</f>
        <v>260</v>
      </c>
      <c r="P147">
        <f>F147/30*Food_DB!$C$4</f>
        <v>111</v>
      </c>
      <c r="Q147">
        <f>G147*Food_DB!$C$5</f>
        <v>222</v>
      </c>
      <c r="R147">
        <f>H147/100*Food_DB!$C$6</f>
        <v>12</v>
      </c>
      <c r="S147">
        <f>I147/100*Food_DB!$C$7</f>
        <v>62.5</v>
      </c>
      <c r="T147">
        <f>IFERROR(K147/100*VLOOKUP(J147,Food_DB!$A$2:$F$14,3,FALSE),0)</f>
        <v>450</v>
      </c>
      <c r="U147">
        <f>L147*Food_DB!$C$8</f>
        <v>270</v>
      </c>
      <c r="V147">
        <f t="shared" si="8"/>
        <v>0</v>
      </c>
      <c r="W147">
        <f t="shared" si="9"/>
        <v>1537.5</v>
      </c>
      <c r="X147">
        <f>D147*Food_DB!$D$2+E147/100*Food_DB!$D$3+F147/30*Food_DB!$D$4+G147*Food_DB!$D$5+H147/100*Food_DB!$D$6+I147/100*Food_DB!$D$7+IFERROR(K147/100*VLOOKUP(J147,Food_DB!$A$2:$F$14,4,FALSE),0)+L147*Food_DB!$D$8</f>
        <v>92.999999999999986</v>
      </c>
      <c r="Y147">
        <f>D147*Food_DB!$E$2+E147/100*Food_DB!$E$3+F147/30*Food_DB!$E$4+G147*Food_DB!$E$5+H147/100*Food_DB!$E$6+I147/100*Food_DB!$E$7+IFERROR(K147/100*VLOOKUP(J147,Food_DB!$A$2:$F$14,5,FALSE),0)+L147*Food_DB!$E$8</f>
        <v>51.1</v>
      </c>
      <c r="Z147">
        <f>D147*Food_DB!$F$2+E147/100*Food_DB!$F$3+F147/30*Food_DB!$F$4+G147*Food_DB!$F$5+H147/100*Food_DB!$F$6+I147/100*Food_DB!$F$7+IFERROR(K147/100*VLOOKUP(J147,Food_DB!$A$2:$F$14,6,FALSE),0)+L147*Food_DB!$F$8</f>
        <v>178.15</v>
      </c>
      <c r="AA147">
        <v>6.5</v>
      </c>
      <c r="AB147">
        <v>30</v>
      </c>
      <c r="AC147">
        <v>0</v>
      </c>
      <c r="AD147">
        <v>0</v>
      </c>
      <c r="AE147">
        <f>Dashboard!$B$6*AA147+Dashboard!$B$6*4*AB147/60+Dashboard!$B$6*8*AC147/120+Dashboard!$B$6*7*AD147</f>
        <v>680</v>
      </c>
      <c r="AF147">
        <f>Dashboard!$B$5</f>
        <v>1700</v>
      </c>
      <c r="AG147">
        <f t="shared" si="10"/>
        <v>2720</v>
      </c>
      <c r="AH147">
        <f t="shared" si="11"/>
        <v>-1182.5</v>
      </c>
    </row>
    <row r="148" spans="1:34">
      <c r="A148">
        <v>46324</v>
      </c>
      <c r="B148" t="s">
        <v>93</v>
      </c>
      <c r="C148" t="s">
        <v>89</v>
      </c>
      <c r="D148">
        <v>2</v>
      </c>
      <c r="E148">
        <v>400</v>
      </c>
      <c r="F148">
        <v>30</v>
      </c>
      <c r="G148">
        <v>1</v>
      </c>
      <c r="H148">
        <v>150</v>
      </c>
      <c r="I148">
        <v>250</v>
      </c>
      <c r="J148" t="s">
        <v>87</v>
      </c>
      <c r="K148">
        <v>250</v>
      </c>
      <c r="L148">
        <v>3</v>
      </c>
      <c r="M148">
        <v>0</v>
      </c>
      <c r="N148">
        <f>D148*Food_DB!$C$2</f>
        <v>150</v>
      </c>
      <c r="O148">
        <f>E148/100*Food_DB!$C$3</f>
        <v>260</v>
      </c>
      <c r="P148">
        <f>F148/30*Food_DB!$C$4</f>
        <v>111</v>
      </c>
      <c r="Q148">
        <f>G148*Food_DB!$C$5</f>
        <v>222</v>
      </c>
      <c r="R148">
        <f>H148/100*Food_DB!$C$6</f>
        <v>12</v>
      </c>
      <c r="S148">
        <f>I148/100*Food_DB!$C$7</f>
        <v>62.5</v>
      </c>
      <c r="T148">
        <f>IFERROR(K148/100*VLOOKUP(J148,Food_DB!$A$2:$F$14,3,FALSE),0)</f>
        <v>300</v>
      </c>
      <c r="U148">
        <f>L148*Food_DB!$C$8</f>
        <v>270</v>
      </c>
      <c r="V148">
        <f t="shared" si="8"/>
        <v>0</v>
      </c>
      <c r="W148">
        <f t="shared" si="9"/>
        <v>1387.5</v>
      </c>
      <c r="X148">
        <f>D148*Food_DB!$D$2+E148/100*Food_DB!$D$3+F148/30*Food_DB!$D$4+G148*Food_DB!$D$5+H148/100*Food_DB!$D$6+I148/100*Food_DB!$D$7+IFERROR(K148/100*VLOOKUP(J148,Food_DB!$A$2:$F$14,4,FALSE),0)+L148*Food_DB!$D$8</f>
        <v>100.49999999999999</v>
      </c>
      <c r="Y148">
        <f>D148*Food_DB!$E$2+E148/100*Food_DB!$E$3+F148/30*Food_DB!$E$4+G148*Food_DB!$E$5+H148/100*Food_DB!$E$6+I148/100*Food_DB!$E$7+IFERROR(K148/100*VLOOKUP(J148,Food_DB!$A$2:$F$14,5,FALSE),0)+L148*Food_DB!$E$8</f>
        <v>32.35</v>
      </c>
      <c r="Z148">
        <f>D148*Food_DB!$F$2+E148/100*Food_DB!$F$3+F148/30*Food_DB!$F$4+G148*Food_DB!$F$5+H148/100*Food_DB!$F$6+I148/100*Food_DB!$F$7+IFERROR(K148/100*VLOOKUP(J148,Food_DB!$A$2:$F$14,6,FALSE),0)+L148*Food_DB!$F$8</f>
        <v>178.15</v>
      </c>
      <c r="AA148">
        <v>6.5</v>
      </c>
      <c r="AB148">
        <v>30</v>
      </c>
      <c r="AC148">
        <v>0</v>
      </c>
      <c r="AD148">
        <v>0</v>
      </c>
      <c r="AE148">
        <f>Dashboard!$B$6*AA148+Dashboard!$B$6*4*AB148/60+Dashboard!$B$6*8*AC148/120+Dashboard!$B$6*7*AD148</f>
        <v>680</v>
      </c>
      <c r="AF148">
        <f>Dashboard!$B$5</f>
        <v>1700</v>
      </c>
      <c r="AG148">
        <f t="shared" si="10"/>
        <v>2720</v>
      </c>
      <c r="AH148">
        <f t="shared" si="11"/>
        <v>-1332.5</v>
      </c>
    </row>
    <row r="149" spans="1:34">
      <c r="A149">
        <v>46325</v>
      </c>
      <c r="B149" t="s">
        <v>80</v>
      </c>
      <c r="C149" t="s">
        <v>81</v>
      </c>
      <c r="D149">
        <v>2</v>
      </c>
      <c r="E149">
        <v>400</v>
      </c>
      <c r="F149">
        <v>30</v>
      </c>
      <c r="G149">
        <v>1</v>
      </c>
      <c r="H149">
        <v>150</v>
      </c>
      <c r="I149">
        <v>250</v>
      </c>
      <c r="J149" t="s">
        <v>90</v>
      </c>
      <c r="K149">
        <v>250</v>
      </c>
      <c r="L149">
        <v>3</v>
      </c>
      <c r="M149">
        <v>1000</v>
      </c>
      <c r="N149">
        <f>D149*Food_DB!$C$2</f>
        <v>150</v>
      </c>
      <c r="O149">
        <f>E149/100*Food_DB!$C$3</f>
        <v>260</v>
      </c>
      <c r="P149">
        <f>F149/30*Food_DB!$C$4</f>
        <v>111</v>
      </c>
      <c r="Q149">
        <f>G149*Food_DB!$C$5</f>
        <v>222</v>
      </c>
      <c r="R149">
        <f>H149/100*Food_DB!$C$6</f>
        <v>12</v>
      </c>
      <c r="S149">
        <f>I149/100*Food_DB!$C$7</f>
        <v>62.5</v>
      </c>
      <c r="T149">
        <f>IFERROR(K149/100*VLOOKUP(J149,Food_DB!$A$2:$F$14,3,FALSE),0)</f>
        <v>575</v>
      </c>
      <c r="U149">
        <f>L149*Food_DB!$C$8</f>
        <v>270</v>
      </c>
      <c r="V149">
        <f t="shared" si="8"/>
        <v>1000</v>
      </c>
      <c r="W149">
        <f t="shared" si="9"/>
        <v>2662.5</v>
      </c>
      <c r="X149">
        <f>D149*Food_DB!$D$2+E149/100*Food_DB!$D$3+F149/30*Food_DB!$D$4+G149*Food_DB!$D$5+H149/100*Food_DB!$D$6+I149/100*Food_DB!$D$7+IFERROR(K149/100*VLOOKUP(J149,Food_DB!$A$2:$F$14,4,FALSE),0)+L149*Food_DB!$D$8</f>
        <v>87.999999999999986</v>
      </c>
      <c r="Y149">
        <f>D149*Food_DB!$E$2+E149/100*Food_DB!$E$3+F149/30*Food_DB!$E$4+G149*Food_DB!$E$5+H149/100*Food_DB!$E$6+I149/100*Food_DB!$E$7+IFERROR(K149/100*VLOOKUP(J149,Food_DB!$A$2:$F$14,5,FALSE),0)+L149*Food_DB!$E$8</f>
        <v>68.599999999999994</v>
      </c>
      <c r="Z149">
        <f>D149*Food_DB!$F$2+E149/100*Food_DB!$F$3+F149/30*Food_DB!$F$4+G149*Food_DB!$F$5+H149/100*Food_DB!$F$6+I149/100*Food_DB!$F$7+IFERROR(K149/100*VLOOKUP(J149,Food_DB!$A$2:$F$14,6,FALSE),0)+L149*Food_DB!$F$8</f>
        <v>178.15</v>
      </c>
      <c r="AA149">
        <v>6.5</v>
      </c>
      <c r="AB149">
        <v>30</v>
      </c>
      <c r="AC149">
        <v>0</v>
      </c>
      <c r="AD149">
        <v>0</v>
      </c>
      <c r="AE149">
        <f>Dashboard!$B$6*AA149+Dashboard!$B$6*4*AB149/60+Dashboard!$B$6*8*AC149/120+Dashboard!$B$6*7*AD149</f>
        <v>680</v>
      </c>
      <c r="AF149">
        <f>Dashboard!$B$5</f>
        <v>1700</v>
      </c>
      <c r="AG149">
        <f t="shared" si="10"/>
        <v>2720</v>
      </c>
      <c r="AH149">
        <f t="shared" si="11"/>
        <v>-57.5</v>
      </c>
    </row>
    <row r="150" spans="1:34">
      <c r="A150">
        <v>46326</v>
      </c>
      <c r="B150" t="s">
        <v>83</v>
      </c>
      <c r="C150" t="s">
        <v>84</v>
      </c>
      <c r="D150">
        <v>2</v>
      </c>
      <c r="E150">
        <v>400</v>
      </c>
      <c r="F150">
        <v>30</v>
      </c>
      <c r="G150">
        <v>1</v>
      </c>
      <c r="H150">
        <v>150</v>
      </c>
      <c r="I150">
        <v>250</v>
      </c>
      <c r="J150" t="s">
        <v>82</v>
      </c>
      <c r="K150">
        <v>250</v>
      </c>
      <c r="L150">
        <v>3</v>
      </c>
      <c r="M150">
        <v>0</v>
      </c>
      <c r="N150">
        <f>D150*Food_DB!$C$2</f>
        <v>150</v>
      </c>
      <c r="O150">
        <f>E150/100*Food_DB!$C$3</f>
        <v>260</v>
      </c>
      <c r="P150">
        <f>F150/30*Food_DB!$C$4</f>
        <v>111</v>
      </c>
      <c r="Q150">
        <f>G150*Food_DB!$C$5</f>
        <v>222</v>
      </c>
      <c r="R150">
        <f>H150/100*Food_DB!$C$6</f>
        <v>12</v>
      </c>
      <c r="S150">
        <f>I150/100*Food_DB!$C$7</f>
        <v>62.5</v>
      </c>
      <c r="T150">
        <f>IFERROR(K150/100*VLOOKUP(J150,Food_DB!$A$2:$F$14,3,FALSE),0)</f>
        <v>550</v>
      </c>
      <c r="U150">
        <f>L150*Food_DB!$C$8</f>
        <v>270</v>
      </c>
      <c r="V150">
        <f t="shared" si="8"/>
        <v>0</v>
      </c>
      <c r="W150">
        <f t="shared" si="9"/>
        <v>1637.5</v>
      </c>
      <c r="X150">
        <f>D150*Food_DB!$D$2+E150/100*Food_DB!$D$3+F150/30*Food_DB!$D$4+G150*Food_DB!$D$5+H150/100*Food_DB!$D$6+I150/100*Food_DB!$D$7+IFERROR(K150/100*VLOOKUP(J150,Food_DB!$A$2:$F$14,4,FALSE),0)+L150*Food_DB!$D$8</f>
        <v>92.999999999999986</v>
      </c>
      <c r="Y150">
        <f>D150*Food_DB!$E$2+E150/100*Food_DB!$E$3+F150/30*Food_DB!$E$4+G150*Food_DB!$E$5+H150/100*Food_DB!$E$6+I150/100*Food_DB!$E$7+IFERROR(K150/100*VLOOKUP(J150,Food_DB!$A$2:$F$14,5,FALSE),0)+L150*Food_DB!$E$8</f>
        <v>63.6</v>
      </c>
      <c r="Z150">
        <f>D150*Food_DB!$F$2+E150/100*Food_DB!$F$3+F150/30*Food_DB!$F$4+G150*Food_DB!$F$5+H150/100*Food_DB!$F$6+I150/100*Food_DB!$F$7+IFERROR(K150/100*VLOOKUP(J150,Food_DB!$A$2:$F$14,6,FALSE),0)+L150*Food_DB!$F$8</f>
        <v>178.15</v>
      </c>
      <c r="AA150">
        <v>0</v>
      </c>
      <c r="AB150">
        <v>0</v>
      </c>
      <c r="AC150">
        <v>0</v>
      </c>
      <c r="AD150">
        <v>3.5</v>
      </c>
      <c r="AE150">
        <f>Dashboard!$B$6*AA150+Dashboard!$B$6*4*AB150/60+Dashboard!$B$6*8*AC150/120+Dashboard!$B$6*7*AD150</f>
        <v>1960</v>
      </c>
      <c r="AF150">
        <f>Dashboard!$B$5</f>
        <v>1700</v>
      </c>
      <c r="AG150">
        <f t="shared" si="10"/>
        <v>4000</v>
      </c>
      <c r="AH150">
        <f t="shared" si="11"/>
        <v>-2362.5</v>
      </c>
    </row>
    <row r="151" spans="1:34">
      <c r="A151">
        <v>46327</v>
      </c>
      <c r="B151" t="s">
        <v>86</v>
      </c>
      <c r="C151" t="s">
        <v>84</v>
      </c>
      <c r="D151">
        <v>2</v>
      </c>
      <c r="E151">
        <v>400</v>
      </c>
      <c r="F151">
        <v>30</v>
      </c>
      <c r="G151">
        <v>1</v>
      </c>
      <c r="H151">
        <v>150</v>
      </c>
      <c r="I151">
        <v>250</v>
      </c>
      <c r="J151" t="s">
        <v>85</v>
      </c>
      <c r="K151">
        <v>250</v>
      </c>
      <c r="L151">
        <v>3</v>
      </c>
      <c r="M151">
        <v>0</v>
      </c>
      <c r="N151">
        <f>D151*Food_DB!$C$2</f>
        <v>150</v>
      </c>
      <c r="O151">
        <f>E151/100*Food_DB!$C$3</f>
        <v>260</v>
      </c>
      <c r="P151">
        <f>F151/30*Food_DB!$C$4</f>
        <v>111</v>
      </c>
      <c r="Q151">
        <f>G151*Food_DB!$C$5</f>
        <v>222</v>
      </c>
      <c r="R151">
        <f>H151/100*Food_DB!$C$6</f>
        <v>12</v>
      </c>
      <c r="S151">
        <f>I151/100*Food_DB!$C$7</f>
        <v>62.5</v>
      </c>
      <c r="T151">
        <f>IFERROR(K151/100*VLOOKUP(J151,Food_DB!$A$2:$F$14,3,FALSE),0)</f>
        <v>450</v>
      </c>
      <c r="U151">
        <f>L151*Food_DB!$C$8</f>
        <v>270</v>
      </c>
      <c r="V151">
        <f t="shared" si="8"/>
        <v>0</v>
      </c>
      <c r="W151">
        <f t="shared" si="9"/>
        <v>1537.5</v>
      </c>
      <c r="X151">
        <f>D151*Food_DB!$D$2+E151/100*Food_DB!$D$3+F151/30*Food_DB!$D$4+G151*Food_DB!$D$5+H151/100*Food_DB!$D$6+I151/100*Food_DB!$D$7+IFERROR(K151/100*VLOOKUP(J151,Food_DB!$A$2:$F$14,4,FALSE),0)+L151*Food_DB!$D$8</f>
        <v>92.999999999999986</v>
      </c>
      <c r="Y151">
        <f>D151*Food_DB!$E$2+E151/100*Food_DB!$E$3+F151/30*Food_DB!$E$4+G151*Food_DB!$E$5+H151/100*Food_DB!$E$6+I151/100*Food_DB!$E$7+IFERROR(K151/100*VLOOKUP(J151,Food_DB!$A$2:$F$14,5,FALSE),0)+L151*Food_DB!$E$8</f>
        <v>51.1</v>
      </c>
      <c r="Z151">
        <f>D151*Food_DB!$F$2+E151/100*Food_DB!$F$3+F151/30*Food_DB!$F$4+G151*Food_DB!$F$5+H151/100*Food_DB!$F$6+I151/100*Food_DB!$F$7+IFERROR(K151/100*VLOOKUP(J151,Food_DB!$A$2:$F$14,6,FALSE),0)+L151*Food_DB!$F$8</f>
        <v>178.15</v>
      </c>
      <c r="AA151">
        <v>0</v>
      </c>
      <c r="AB151">
        <v>0</v>
      </c>
      <c r="AC151">
        <v>0</v>
      </c>
      <c r="AD151">
        <v>3.5</v>
      </c>
      <c r="AE151">
        <f>Dashboard!$B$6*AA151+Dashboard!$B$6*4*AB151/60+Dashboard!$B$6*8*AC151/120+Dashboard!$B$6*7*AD151</f>
        <v>1960</v>
      </c>
      <c r="AF151">
        <f>Dashboard!$B$5</f>
        <v>1700</v>
      </c>
      <c r="AG151">
        <f t="shared" si="10"/>
        <v>4000</v>
      </c>
      <c r="AH151">
        <f t="shared" si="11"/>
        <v>-2462.5</v>
      </c>
    </row>
    <row r="152" spans="1:34">
      <c r="A152">
        <v>46328</v>
      </c>
      <c r="B152" t="s">
        <v>88</v>
      </c>
      <c r="C152" t="s">
        <v>89</v>
      </c>
      <c r="D152">
        <v>2</v>
      </c>
      <c r="E152">
        <v>400</v>
      </c>
      <c r="F152">
        <v>30</v>
      </c>
      <c r="G152">
        <v>1</v>
      </c>
      <c r="H152">
        <v>150</v>
      </c>
      <c r="I152">
        <v>250</v>
      </c>
      <c r="J152" t="s">
        <v>87</v>
      </c>
      <c r="K152">
        <v>250</v>
      </c>
      <c r="L152">
        <v>3</v>
      </c>
      <c r="M152">
        <v>0</v>
      </c>
      <c r="N152">
        <f>D152*Food_DB!$C$2</f>
        <v>150</v>
      </c>
      <c r="O152">
        <f>E152/100*Food_DB!$C$3</f>
        <v>260</v>
      </c>
      <c r="P152">
        <f>F152/30*Food_DB!$C$4</f>
        <v>111</v>
      </c>
      <c r="Q152">
        <f>G152*Food_DB!$C$5</f>
        <v>222</v>
      </c>
      <c r="R152">
        <f>H152/100*Food_DB!$C$6</f>
        <v>12</v>
      </c>
      <c r="S152">
        <f>I152/100*Food_DB!$C$7</f>
        <v>62.5</v>
      </c>
      <c r="T152">
        <f>IFERROR(K152/100*VLOOKUP(J152,Food_DB!$A$2:$F$14,3,FALSE),0)</f>
        <v>300</v>
      </c>
      <c r="U152">
        <f>L152*Food_DB!$C$8</f>
        <v>270</v>
      </c>
      <c r="V152">
        <f t="shared" si="8"/>
        <v>0</v>
      </c>
      <c r="W152">
        <f t="shared" si="9"/>
        <v>1387.5</v>
      </c>
      <c r="X152">
        <f>D152*Food_DB!$D$2+E152/100*Food_DB!$D$3+F152/30*Food_DB!$D$4+G152*Food_DB!$D$5+H152/100*Food_DB!$D$6+I152/100*Food_DB!$D$7+IFERROR(K152/100*VLOOKUP(J152,Food_DB!$A$2:$F$14,4,FALSE),0)+L152*Food_DB!$D$8</f>
        <v>100.49999999999999</v>
      </c>
      <c r="Y152">
        <f>D152*Food_DB!$E$2+E152/100*Food_DB!$E$3+F152/30*Food_DB!$E$4+G152*Food_DB!$E$5+H152/100*Food_DB!$E$6+I152/100*Food_DB!$E$7+IFERROR(K152/100*VLOOKUP(J152,Food_DB!$A$2:$F$14,5,FALSE),0)+L152*Food_DB!$E$8</f>
        <v>32.35</v>
      </c>
      <c r="Z152">
        <f>D152*Food_DB!$F$2+E152/100*Food_DB!$F$3+F152/30*Food_DB!$F$4+G152*Food_DB!$F$5+H152/100*Food_DB!$F$6+I152/100*Food_DB!$F$7+IFERROR(K152/100*VLOOKUP(J152,Food_DB!$A$2:$F$14,6,FALSE),0)+L152*Food_DB!$F$8</f>
        <v>178.15</v>
      </c>
      <c r="AA152">
        <v>6.5</v>
      </c>
      <c r="AB152">
        <v>30</v>
      </c>
      <c r="AC152">
        <v>0</v>
      </c>
      <c r="AD152">
        <v>0</v>
      </c>
      <c r="AE152">
        <f>Dashboard!$B$6*AA152+Dashboard!$B$6*4*AB152/60+Dashboard!$B$6*8*AC152/120+Dashboard!$B$6*7*AD152</f>
        <v>680</v>
      </c>
      <c r="AF152">
        <f>Dashboard!$B$5</f>
        <v>1700</v>
      </c>
      <c r="AG152">
        <f t="shared" si="10"/>
        <v>2720</v>
      </c>
      <c r="AH152">
        <f t="shared" si="11"/>
        <v>-1332.5</v>
      </c>
    </row>
    <row r="153" spans="1:34">
      <c r="A153">
        <v>46329</v>
      </c>
      <c r="B153" t="s">
        <v>91</v>
      </c>
      <c r="C153" t="s">
        <v>89</v>
      </c>
      <c r="D153">
        <v>2</v>
      </c>
      <c r="E153">
        <v>400</v>
      </c>
      <c r="F153">
        <v>30</v>
      </c>
      <c r="G153">
        <v>1</v>
      </c>
      <c r="H153">
        <v>150</v>
      </c>
      <c r="I153">
        <v>250</v>
      </c>
      <c r="J153" t="s">
        <v>90</v>
      </c>
      <c r="K153">
        <v>250</v>
      </c>
      <c r="L153">
        <v>3</v>
      </c>
      <c r="M153">
        <v>0</v>
      </c>
      <c r="N153">
        <f>D153*Food_DB!$C$2</f>
        <v>150</v>
      </c>
      <c r="O153">
        <f>E153/100*Food_DB!$C$3</f>
        <v>260</v>
      </c>
      <c r="P153">
        <f>F153/30*Food_DB!$C$4</f>
        <v>111</v>
      </c>
      <c r="Q153">
        <f>G153*Food_DB!$C$5</f>
        <v>222</v>
      </c>
      <c r="R153">
        <f>H153/100*Food_DB!$C$6</f>
        <v>12</v>
      </c>
      <c r="S153">
        <f>I153/100*Food_DB!$C$7</f>
        <v>62.5</v>
      </c>
      <c r="T153">
        <f>IFERROR(K153/100*VLOOKUP(J153,Food_DB!$A$2:$F$14,3,FALSE),0)</f>
        <v>575</v>
      </c>
      <c r="U153">
        <f>L153*Food_DB!$C$8</f>
        <v>270</v>
      </c>
      <c r="V153">
        <f t="shared" si="8"/>
        <v>0</v>
      </c>
      <c r="W153">
        <f t="shared" si="9"/>
        <v>1662.5</v>
      </c>
      <c r="X153">
        <f>D153*Food_DB!$D$2+E153/100*Food_DB!$D$3+F153/30*Food_DB!$D$4+G153*Food_DB!$D$5+H153/100*Food_DB!$D$6+I153/100*Food_DB!$D$7+IFERROR(K153/100*VLOOKUP(J153,Food_DB!$A$2:$F$14,4,FALSE),0)+L153*Food_DB!$D$8</f>
        <v>87.999999999999986</v>
      </c>
      <c r="Y153">
        <f>D153*Food_DB!$E$2+E153/100*Food_DB!$E$3+F153/30*Food_DB!$E$4+G153*Food_DB!$E$5+H153/100*Food_DB!$E$6+I153/100*Food_DB!$E$7+IFERROR(K153/100*VLOOKUP(J153,Food_DB!$A$2:$F$14,5,FALSE),0)+L153*Food_DB!$E$8</f>
        <v>68.599999999999994</v>
      </c>
      <c r="Z153">
        <f>D153*Food_DB!$F$2+E153/100*Food_DB!$F$3+F153/30*Food_DB!$F$4+G153*Food_DB!$F$5+H153/100*Food_DB!$F$6+I153/100*Food_DB!$F$7+IFERROR(K153/100*VLOOKUP(J153,Food_DB!$A$2:$F$14,6,FALSE),0)+L153*Food_DB!$F$8</f>
        <v>178.15</v>
      </c>
      <c r="AA153">
        <v>6.5</v>
      </c>
      <c r="AB153">
        <v>30</v>
      </c>
      <c r="AC153">
        <v>0</v>
      </c>
      <c r="AD153">
        <v>0</v>
      </c>
      <c r="AE153">
        <f>Dashboard!$B$6*AA153+Dashboard!$B$6*4*AB153/60+Dashboard!$B$6*8*AC153/120+Dashboard!$B$6*7*AD153</f>
        <v>680</v>
      </c>
      <c r="AF153">
        <f>Dashboard!$B$5</f>
        <v>1700</v>
      </c>
      <c r="AG153">
        <f t="shared" si="10"/>
        <v>2720</v>
      </c>
      <c r="AH153">
        <f t="shared" si="11"/>
        <v>-1057.5</v>
      </c>
    </row>
    <row r="154" spans="1:34">
      <c r="A154">
        <v>46330</v>
      </c>
      <c r="B154" t="s">
        <v>92</v>
      </c>
      <c r="C154" t="s">
        <v>89</v>
      </c>
      <c r="D154">
        <v>2</v>
      </c>
      <c r="E154">
        <v>400</v>
      </c>
      <c r="F154">
        <v>30</v>
      </c>
      <c r="G154">
        <v>1</v>
      </c>
      <c r="H154">
        <v>150</v>
      </c>
      <c r="I154">
        <v>250</v>
      </c>
      <c r="J154" t="s">
        <v>82</v>
      </c>
      <c r="K154">
        <v>250</v>
      </c>
      <c r="L154">
        <v>3</v>
      </c>
      <c r="M154">
        <v>0</v>
      </c>
      <c r="N154">
        <f>D154*Food_DB!$C$2</f>
        <v>150</v>
      </c>
      <c r="O154">
        <f>E154/100*Food_DB!$C$3</f>
        <v>260</v>
      </c>
      <c r="P154">
        <f>F154/30*Food_DB!$C$4</f>
        <v>111</v>
      </c>
      <c r="Q154">
        <f>G154*Food_DB!$C$5</f>
        <v>222</v>
      </c>
      <c r="R154">
        <f>H154/100*Food_DB!$C$6</f>
        <v>12</v>
      </c>
      <c r="S154">
        <f>I154/100*Food_DB!$C$7</f>
        <v>62.5</v>
      </c>
      <c r="T154">
        <f>IFERROR(K154/100*VLOOKUP(J154,Food_DB!$A$2:$F$14,3,FALSE),0)</f>
        <v>550</v>
      </c>
      <c r="U154">
        <f>L154*Food_DB!$C$8</f>
        <v>270</v>
      </c>
      <c r="V154">
        <f t="shared" si="8"/>
        <v>0</v>
      </c>
      <c r="W154">
        <f t="shared" si="9"/>
        <v>1637.5</v>
      </c>
      <c r="X154">
        <f>D154*Food_DB!$D$2+E154/100*Food_DB!$D$3+F154/30*Food_DB!$D$4+G154*Food_DB!$D$5+H154/100*Food_DB!$D$6+I154/100*Food_DB!$D$7+IFERROR(K154/100*VLOOKUP(J154,Food_DB!$A$2:$F$14,4,FALSE),0)+L154*Food_DB!$D$8</f>
        <v>92.999999999999986</v>
      </c>
      <c r="Y154">
        <f>D154*Food_DB!$E$2+E154/100*Food_DB!$E$3+F154/30*Food_DB!$E$4+G154*Food_DB!$E$5+H154/100*Food_DB!$E$6+I154/100*Food_DB!$E$7+IFERROR(K154/100*VLOOKUP(J154,Food_DB!$A$2:$F$14,5,FALSE),0)+L154*Food_DB!$E$8</f>
        <v>63.6</v>
      </c>
      <c r="Z154">
        <f>D154*Food_DB!$F$2+E154/100*Food_DB!$F$3+F154/30*Food_DB!$F$4+G154*Food_DB!$F$5+H154/100*Food_DB!$F$6+I154/100*Food_DB!$F$7+IFERROR(K154/100*VLOOKUP(J154,Food_DB!$A$2:$F$14,6,FALSE),0)+L154*Food_DB!$F$8</f>
        <v>178.15</v>
      </c>
      <c r="AA154">
        <v>6.5</v>
      </c>
      <c r="AB154">
        <v>30</v>
      </c>
      <c r="AC154">
        <v>0</v>
      </c>
      <c r="AD154">
        <v>0</v>
      </c>
      <c r="AE154">
        <f>Dashboard!$B$6*AA154+Dashboard!$B$6*4*AB154/60+Dashboard!$B$6*8*AC154/120+Dashboard!$B$6*7*AD154</f>
        <v>680</v>
      </c>
      <c r="AF154">
        <f>Dashboard!$B$5</f>
        <v>1700</v>
      </c>
      <c r="AG154">
        <f t="shared" si="10"/>
        <v>2720</v>
      </c>
      <c r="AH154">
        <f t="shared" si="11"/>
        <v>-1082.5</v>
      </c>
    </row>
    <row r="155" spans="1:34">
      <c r="A155">
        <v>46331</v>
      </c>
      <c r="B155" t="s">
        <v>93</v>
      </c>
      <c r="C155" t="s">
        <v>89</v>
      </c>
      <c r="D155">
        <v>2</v>
      </c>
      <c r="E155">
        <v>400</v>
      </c>
      <c r="F155">
        <v>30</v>
      </c>
      <c r="G155">
        <v>1</v>
      </c>
      <c r="H155">
        <v>150</v>
      </c>
      <c r="I155">
        <v>250</v>
      </c>
      <c r="J155" t="s">
        <v>85</v>
      </c>
      <c r="K155">
        <v>250</v>
      </c>
      <c r="L155">
        <v>3</v>
      </c>
      <c r="M155">
        <v>0</v>
      </c>
      <c r="N155">
        <f>D155*Food_DB!$C$2</f>
        <v>150</v>
      </c>
      <c r="O155">
        <f>E155/100*Food_DB!$C$3</f>
        <v>260</v>
      </c>
      <c r="P155">
        <f>F155/30*Food_DB!$C$4</f>
        <v>111</v>
      </c>
      <c r="Q155">
        <f>G155*Food_DB!$C$5</f>
        <v>222</v>
      </c>
      <c r="R155">
        <f>H155/100*Food_DB!$C$6</f>
        <v>12</v>
      </c>
      <c r="S155">
        <f>I155/100*Food_DB!$C$7</f>
        <v>62.5</v>
      </c>
      <c r="T155">
        <f>IFERROR(K155/100*VLOOKUP(J155,Food_DB!$A$2:$F$14,3,FALSE),0)</f>
        <v>450</v>
      </c>
      <c r="U155">
        <f>L155*Food_DB!$C$8</f>
        <v>270</v>
      </c>
      <c r="V155">
        <f t="shared" si="8"/>
        <v>0</v>
      </c>
      <c r="W155">
        <f t="shared" si="9"/>
        <v>1537.5</v>
      </c>
      <c r="X155">
        <f>D155*Food_DB!$D$2+E155/100*Food_DB!$D$3+F155/30*Food_DB!$D$4+G155*Food_DB!$D$5+H155/100*Food_DB!$D$6+I155/100*Food_DB!$D$7+IFERROR(K155/100*VLOOKUP(J155,Food_DB!$A$2:$F$14,4,FALSE),0)+L155*Food_DB!$D$8</f>
        <v>92.999999999999986</v>
      </c>
      <c r="Y155">
        <f>D155*Food_DB!$E$2+E155/100*Food_DB!$E$3+F155/30*Food_DB!$E$4+G155*Food_DB!$E$5+H155/100*Food_DB!$E$6+I155/100*Food_DB!$E$7+IFERROR(K155/100*VLOOKUP(J155,Food_DB!$A$2:$F$14,5,FALSE),0)+L155*Food_DB!$E$8</f>
        <v>51.1</v>
      </c>
      <c r="Z155">
        <f>D155*Food_DB!$F$2+E155/100*Food_DB!$F$3+F155/30*Food_DB!$F$4+G155*Food_DB!$F$5+H155/100*Food_DB!$F$6+I155/100*Food_DB!$F$7+IFERROR(K155/100*VLOOKUP(J155,Food_DB!$A$2:$F$14,6,FALSE),0)+L155*Food_DB!$F$8</f>
        <v>178.15</v>
      </c>
      <c r="AA155">
        <v>6.5</v>
      </c>
      <c r="AB155">
        <v>30</v>
      </c>
      <c r="AC155">
        <v>0</v>
      </c>
      <c r="AD155">
        <v>0</v>
      </c>
      <c r="AE155">
        <f>Dashboard!$B$6*AA155+Dashboard!$B$6*4*AB155/60+Dashboard!$B$6*8*AC155/120+Dashboard!$B$6*7*AD155</f>
        <v>680</v>
      </c>
      <c r="AF155">
        <f>Dashboard!$B$5</f>
        <v>1700</v>
      </c>
      <c r="AG155">
        <f t="shared" si="10"/>
        <v>2720</v>
      </c>
      <c r="AH155">
        <f t="shared" si="11"/>
        <v>-1182.5</v>
      </c>
    </row>
    <row r="156" spans="1:34">
      <c r="A156">
        <v>46332</v>
      </c>
      <c r="B156" t="s">
        <v>80</v>
      </c>
      <c r="C156" t="s">
        <v>81</v>
      </c>
      <c r="D156">
        <v>2</v>
      </c>
      <c r="E156">
        <v>400</v>
      </c>
      <c r="F156">
        <v>30</v>
      </c>
      <c r="G156">
        <v>1</v>
      </c>
      <c r="H156">
        <v>150</v>
      </c>
      <c r="I156">
        <v>250</v>
      </c>
      <c r="J156" t="s">
        <v>87</v>
      </c>
      <c r="K156">
        <v>250</v>
      </c>
      <c r="L156">
        <v>3</v>
      </c>
      <c r="M156">
        <v>1000</v>
      </c>
      <c r="N156">
        <f>D156*Food_DB!$C$2</f>
        <v>150</v>
      </c>
      <c r="O156">
        <f>E156/100*Food_DB!$C$3</f>
        <v>260</v>
      </c>
      <c r="P156">
        <f>F156/30*Food_DB!$C$4</f>
        <v>111</v>
      </c>
      <c r="Q156">
        <f>G156*Food_DB!$C$5</f>
        <v>222</v>
      </c>
      <c r="R156">
        <f>H156/100*Food_DB!$C$6</f>
        <v>12</v>
      </c>
      <c r="S156">
        <f>I156/100*Food_DB!$C$7</f>
        <v>62.5</v>
      </c>
      <c r="T156">
        <f>IFERROR(K156/100*VLOOKUP(J156,Food_DB!$A$2:$F$14,3,FALSE),0)</f>
        <v>300</v>
      </c>
      <c r="U156">
        <f>L156*Food_DB!$C$8</f>
        <v>270</v>
      </c>
      <c r="V156">
        <f t="shared" si="8"/>
        <v>1000</v>
      </c>
      <c r="W156">
        <f t="shared" si="9"/>
        <v>2387.5</v>
      </c>
      <c r="X156">
        <f>D156*Food_DB!$D$2+E156/100*Food_DB!$D$3+F156/30*Food_DB!$D$4+G156*Food_DB!$D$5+H156/100*Food_DB!$D$6+I156/100*Food_DB!$D$7+IFERROR(K156/100*VLOOKUP(J156,Food_DB!$A$2:$F$14,4,FALSE),0)+L156*Food_DB!$D$8</f>
        <v>100.49999999999999</v>
      </c>
      <c r="Y156">
        <f>D156*Food_DB!$E$2+E156/100*Food_DB!$E$3+F156/30*Food_DB!$E$4+G156*Food_DB!$E$5+H156/100*Food_DB!$E$6+I156/100*Food_DB!$E$7+IFERROR(K156/100*VLOOKUP(J156,Food_DB!$A$2:$F$14,5,FALSE),0)+L156*Food_DB!$E$8</f>
        <v>32.35</v>
      </c>
      <c r="Z156">
        <f>D156*Food_DB!$F$2+E156/100*Food_DB!$F$3+F156/30*Food_DB!$F$4+G156*Food_DB!$F$5+H156/100*Food_DB!$F$6+I156/100*Food_DB!$F$7+IFERROR(K156/100*VLOOKUP(J156,Food_DB!$A$2:$F$14,6,FALSE),0)+L156*Food_DB!$F$8</f>
        <v>178.15</v>
      </c>
      <c r="AA156">
        <v>6.5</v>
      </c>
      <c r="AB156">
        <v>30</v>
      </c>
      <c r="AC156">
        <v>0</v>
      </c>
      <c r="AD156">
        <v>0</v>
      </c>
      <c r="AE156">
        <f>Dashboard!$B$6*AA156+Dashboard!$B$6*4*AB156/60+Dashboard!$B$6*8*AC156/120+Dashboard!$B$6*7*AD156</f>
        <v>680</v>
      </c>
      <c r="AF156">
        <f>Dashboard!$B$5</f>
        <v>1700</v>
      </c>
      <c r="AG156">
        <f t="shared" si="10"/>
        <v>2720</v>
      </c>
      <c r="AH156">
        <f t="shared" si="11"/>
        <v>-332.5</v>
      </c>
    </row>
    <row r="157" spans="1:34">
      <c r="A157">
        <v>46333</v>
      </c>
      <c r="B157" t="s">
        <v>83</v>
      </c>
      <c r="C157" t="s">
        <v>84</v>
      </c>
      <c r="D157">
        <v>2</v>
      </c>
      <c r="E157">
        <v>400</v>
      </c>
      <c r="F157">
        <v>30</v>
      </c>
      <c r="G157">
        <v>1</v>
      </c>
      <c r="H157">
        <v>150</v>
      </c>
      <c r="I157">
        <v>250</v>
      </c>
      <c r="J157" t="s">
        <v>90</v>
      </c>
      <c r="K157">
        <v>250</v>
      </c>
      <c r="L157">
        <v>3</v>
      </c>
      <c r="M157">
        <v>0</v>
      </c>
      <c r="N157">
        <f>D157*Food_DB!$C$2</f>
        <v>150</v>
      </c>
      <c r="O157">
        <f>E157/100*Food_DB!$C$3</f>
        <v>260</v>
      </c>
      <c r="P157">
        <f>F157/30*Food_DB!$C$4</f>
        <v>111</v>
      </c>
      <c r="Q157">
        <f>G157*Food_DB!$C$5</f>
        <v>222</v>
      </c>
      <c r="R157">
        <f>H157/100*Food_DB!$C$6</f>
        <v>12</v>
      </c>
      <c r="S157">
        <f>I157/100*Food_DB!$C$7</f>
        <v>62.5</v>
      </c>
      <c r="T157">
        <f>IFERROR(K157/100*VLOOKUP(J157,Food_DB!$A$2:$F$14,3,FALSE),0)</f>
        <v>575</v>
      </c>
      <c r="U157">
        <f>L157*Food_DB!$C$8</f>
        <v>270</v>
      </c>
      <c r="V157">
        <f t="shared" si="8"/>
        <v>0</v>
      </c>
      <c r="W157">
        <f t="shared" si="9"/>
        <v>1662.5</v>
      </c>
      <c r="X157">
        <f>D157*Food_DB!$D$2+E157/100*Food_DB!$D$3+F157/30*Food_DB!$D$4+G157*Food_DB!$D$5+H157/100*Food_DB!$D$6+I157/100*Food_DB!$D$7+IFERROR(K157/100*VLOOKUP(J157,Food_DB!$A$2:$F$14,4,FALSE),0)+L157*Food_DB!$D$8</f>
        <v>87.999999999999986</v>
      </c>
      <c r="Y157">
        <f>D157*Food_DB!$E$2+E157/100*Food_DB!$E$3+F157/30*Food_DB!$E$4+G157*Food_DB!$E$5+H157/100*Food_DB!$E$6+I157/100*Food_DB!$E$7+IFERROR(K157/100*VLOOKUP(J157,Food_DB!$A$2:$F$14,5,FALSE),0)+L157*Food_DB!$E$8</f>
        <v>68.599999999999994</v>
      </c>
      <c r="Z157">
        <f>D157*Food_DB!$F$2+E157/100*Food_DB!$F$3+F157/30*Food_DB!$F$4+G157*Food_DB!$F$5+H157/100*Food_DB!$F$6+I157/100*Food_DB!$F$7+IFERROR(K157/100*VLOOKUP(J157,Food_DB!$A$2:$F$14,6,FALSE),0)+L157*Food_DB!$F$8</f>
        <v>178.15</v>
      </c>
      <c r="AA157">
        <v>0</v>
      </c>
      <c r="AB157">
        <v>0</v>
      </c>
      <c r="AC157">
        <v>0</v>
      </c>
      <c r="AD157">
        <v>3.5</v>
      </c>
      <c r="AE157">
        <f>Dashboard!$B$6*AA157+Dashboard!$B$6*4*AB157/60+Dashboard!$B$6*8*AC157/120+Dashboard!$B$6*7*AD157</f>
        <v>1960</v>
      </c>
      <c r="AF157">
        <f>Dashboard!$B$5</f>
        <v>1700</v>
      </c>
      <c r="AG157">
        <f t="shared" si="10"/>
        <v>4000</v>
      </c>
      <c r="AH157">
        <f t="shared" si="11"/>
        <v>-2337.5</v>
      </c>
    </row>
    <row r="158" spans="1:34">
      <c r="A158">
        <v>46334</v>
      </c>
      <c r="B158" t="s">
        <v>86</v>
      </c>
      <c r="C158" t="s">
        <v>84</v>
      </c>
      <c r="D158">
        <v>2</v>
      </c>
      <c r="E158">
        <v>400</v>
      </c>
      <c r="F158">
        <v>30</v>
      </c>
      <c r="G158">
        <v>1</v>
      </c>
      <c r="H158">
        <v>150</v>
      </c>
      <c r="I158">
        <v>250</v>
      </c>
      <c r="J158" t="s">
        <v>82</v>
      </c>
      <c r="K158">
        <v>250</v>
      </c>
      <c r="L158">
        <v>3</v>
      </c>
      <c r="M158">
        <v>0</v>
      </c>
      <c r="N158">
        <f>D158*Food_DB!$C$2</f>
        <v>150</v>
      </c>
      <c r="O158">
        <f>E158/100*Food_DB!$C$3</f>
        <v>260</v>
      </c>
      <c r="P158">
        <f>F158/30*Food_DB!$C$4</f>
        <v>111</v>
      </c>
      <c r="Q158">
        <f>G158*Food_DB!$C$5</f>
        <v>222</v>
      </c>
      <c r="R158">
        <f>H158/100*Food_DB!$C$6</f>
        <v>12</v>
      </c>
      <c r="S158">
        <f>I158/100*Food_DB!$C$7</f>
        <v>62.5</v>
      </c>
      <c r="T158">
        <f>IFERROR(K158/100*VLOOKUP(J158,Food_DB!$A$2:$F$14,3,FALSE),0)</f>
        <v>550</v>
      </c>
      <c r="U158">
        <f>L158*Food_DB!$C$8</f>
        <v>270</v>
      </c>
      <c r="V158">
        <f t="shared" si="8"/>
        <v>0</v>
      </c>
      <c r="W158">
        <f t="shared" si="9"/>
        <v>1637.5</v>
      </c>
      <c r="X158">
        <f>D158*Food_DB!$D$2+E158/100*Food_DB!$D$3+F158/30*Food_DB!$D$4+G158*Food_DB!$D$5+H158/100*Food_DB!$D$6+I158/100*Food_DB!$D$7+IFERROR(K158/100*VLOOKUP(J158,Food_DB!$A$2:$F$14,4,FALSE),0)+L158*Food_DB!$D$8</f>
        <v>92.999999999999986</v>
      </c>
      <c r="Y158">
        <f>D158*Food_DB!$E$2+E158/100*Food_DB!$E$3+F158/30*Food_DB!$E$4+G158*Food_DB!$E$5+H158/100*Food_DB!$E$6+I158/100*Food_DB!$E$7+IFERROR(K158/100*VLOOKUP(J158,Food_DB!$A$2:$F$14,5,FALSE),0)+L158*Food_DB!$E$8</f>
        <v>63.6</v>
      </c>
      <c r="Z158">
        <f>D158*Food_DB!$F$2+E158/100*Food_DB!$F$3+F158/30*Food_DB!$F$4+G158*Food_DB!$F$5+H158/100*Food_DB!$F$6+I158/100*Food_DB!$F$7+IFERROR(K158/100*VLOOKUP(J158,Food_DB!$A$2:$F$14,6,FALSE),0)+L158*Food_DB!$F$8</f>
        <v>178.15</v>
      </c>
      <c r="AA158">
        <v>0</v>
      </c>
      <c r="AB158">
        <v>0</v>
      </c>
      <c r="AC158">
        <v>0</v>
      </c>
      <c r="AD158">
        <v>3.5</v>
      </c>
      <c r="AE158">
        <f>Dashboard!$B$6*AA158+Dashboard!$B$6*4*AB158/60+Dashboard!$B$6*8*AC158/120+Dashboard!$B$6*7*AD158</f>
        <v>1960</v>
      </c>
      <c r="AF158">
        <f>Dashboard!$B$5</f>
        <v>1700</v>
      </c>
      <c r="AG158">
        <f t="shared" si="10"/>
        <v>4000</v>
      </c>
      <c r="AH158">
        <f t="shared" si="11"/>
        <v>-2362.5</v>
      </c>
    </row>
    <row r="159" spans="1:34">
      <c r="A159">
        <v>46335</v>
      </c>
      <c r="B159" t="s">
        <v>88</v>
      </c>
      <c r="C159" t="s">
        <v>89</v>
      </c>
      <c r="D159">
        <v>2</v>
      </c>
      <c r="E159">
        <v>400</v>
      </c>
      <c r="F159">
        <v>30</v>
      </c>
      <c r="G159">
        <v>1</v>
      </c>
      <c r="H159">
        <v>150</v>
      </c>
      <c r="I159">
        <v>250</v>
      </c>
      <c r="J159" t="s">
        <v>85</v>
      </c>
      <c r="K159">
        <v>250</v>
      </c>
      <c r="L159">
        <v>3</v>
      </c>
      <c r="M159">
        <v>0</v>
      </c>
      <c r="N159">
        <f>D159*Food_DB!$C$2</f>
        <v>150</v>
      </c>
      <c r="O159">
        <f>E159/100*Food_DB!$C$3</f>
        <v>260</v>
      </c>
      <c r="P159">
        <f>F159/30*Food_DB!$C$4</f>
        <v>111</v>
      </c>
      <c r="Q159">
        <f>G159*Food_DB!$C$5</f>
        <v>222</v>
      </c>
      <c r="R159">
        <f>H159/100*Food_DB!$C$6</f>
        <v>12</v>
      </c>
      <c r="S159">
        <f>I159/100*Food_DB!$C$7</f>
        <v>62.5</v>
      </c>
      <c r="T159">
        <f>IFERROR(K159/100*VLOOKUP(J159,Food_DB!$A$2:$F$14,3,FALSE),0)</f>
        <v>450</v>
      </c>
      <c r="U159">
        <f>L159*Food_DB!$C$8</f>
        <v>270</v>
      </c>
      <c r="V159">
        <f t="shared" si="8"/>
        <v>0</v>
      </c>
      <c r="W159">
        <f t="shared" si="9"/>
        <v>1537.5</v>
      </c>
      <c r="X159">
        <f>D159*Food_DB!$D$2+E159/100*Food_DB!$D$3+F159/30*Food_DB!$D$4+G159*Food_DB!$D$5+H159/100*Food_DB!$D$6+I159/100*Food_DB!$D$7+IFERROR(K159/100*VLOOKUP(J159,Food_DB!$A$2:$F$14,4,FALSE),0)+L159*Food_DB!$D$8</f>
        <v>92.999999999999986</v>
      </c>
      <c r="Y159">
        <f>D159*Food_DB!$E$2+E159/100*Food_DB!$E$3+F159/30*Food_DB!$E$4+G159*Food_DB!$E$5+H159/100*Food_DB!$E$6+I159/100*Food_DB!$E$7+IFERROR(K159/100*VLOOKUP(J159,Food_DB!$A$2:$F$14,5,FALSE),0)+L159*Food_DB!$E$8</f>
        <v>51.1</v>
      </c>
      <c r="Z159">
        <f>D159*Food_DB!$F$2+E159/100*Food_DB!$F$3+F159/30*Food_DB!$F$4+G159*Food_DB!$F$5+H159/100*Food_DB!$F$6+I159/100*Food_DB!$F$7+IFERROR(K159/100*VLOOKUP(J159,Food_DB!$A$2:$F$14,6,FALSE),0)+L159*Food_DB!$F$8</f>
        <v>178.15</v>
      </c>
      <c r="AA159">
        <v>6.5</v>
      </c>
      <c r="AB159">
        <v>30</v>
      </c>
      <c r="AC159">
        <v>0</v>
      </c>
      <c r="AD159">
        <v>0</v>
      </c>
      <c r="AE159">
        <f>Dashboard!$B$6*AA159+Dashboard!$B$6*4*AB159/60+Dashboard!$B$6*8*AC159/120+Dashboard!$B$6*7*AD159</f>
        <v>680</v>
      </c>
      <c r="AF159">
        <f>Dashboard!$B$5</f>
        <v>1700</v>
      </c>
      <c r="AG159">
        <f t="shared" si="10"/>
        <v>2720</v>
      </c>
      <c r="AH159">
        <f t="shared" si="11"/>
        <v>-1182.5</v>
      </c>
    </row>
    <row r="160" spans="1:34">
      <c r="A160">
        <v>46336</v>
      </c>
      <c r="B160" t="s">
        <v>91</v>
      </c>
      <c r="C160" t="s">
        <v>89</v>
      </c>
      <c r="D160">
        <v>2</v>
      </c>
      <c r="E160">
        <v>400</v>
      </c>
      <c r="F160">
        <v>30</v>
      </c>
      <c r="G160">
        <v>1</v>
      </c>
      <c r="H160">
        <v>150</v>
      </c>
      <c r="I160">
        <v>250</v>
      </c>
      <c r="J160" t="s">
        <v>87</v>
      </c>
      <c r="K160">
        <v>250</v>
      </c>
      <c r="L160">
        <v>3</v>
      </c>
      <c r="M160">
        <v>0</v>
      </c>
      <c r="N160">
        <f>D160*Food_DB!$C$2</f>
        <v>150</v>
      </c>
      <c r="O160">
        <f>E160/100*Food_DB!$C$3</f>
        <v>260</v>
      </c>
      <c r="P160">
        <f>F160/30*Food_DB!$C$4</f>
        <v>111</v>
      </c>
      <c r="Q160">
        <f>G160*Food_DB!$C$5</f>
        <v>222</v>
      </c>
      <c r="R160">
        <f>H160/100*Food_DB!$C$6</f>
        <v>12</v>
      </c>
      <c r="S160">
        <f>I160/100*Food_DB!$C$7</f>
        <v>62.5</v>
      </c>
      <c r="T160">
        <f>IFERROR(K160/100*VLOOKUP(J160,Food_DB!$A$2:$F$14,3,FALSE),0)</f>
        <v>300</v>
      </c>
      <c r="U160">
        <f>L160*Food_DB!$C$8</f>
        <v>270</v>
      </c>
      <c r="V160">
        <f t="shared" si="8"/>
        <v>0</v>
      </c>
      <c r="W160">
        <f t="shared" si="9"/>
        <v>1387.5</v>
      </c>
      <c r="X160">
        <f>D160*Food_DB!$D$2+E160/100*Food_DB!$D$3+F160/30*Food_DB!$D$4+G160*Food_DB!$D$5+H160/100*Food_DB!$D$6+I160/100*Food_DB!$D$7+IFERROR(K160/100*VLOOKUP(J160,Food_DB!$A$2:$F$14,4,FALSE),0)+L160*Food_DB!$D$8</f>
        <v>100.49999999999999</v>
      </c>
      <c r="Y160">
        <f>D160*Food_DB!$E$2+E160/100*Food_DB!$E$3+F160/30*Food_DB!$E$4+G160*Food_DB!$E$5+H160/100*Food_DB!$E$6+I160/100*Food_DB!$E$7+IFERROR(K160/100*VLOOKUP(J160,Food_DB!$A$2:$F$14,5,FALSE),0)+L160*Food_DB!$E$8</f>
        <v>32.35</v>
      </c>
      <c r="Z160">
        <f>D160*Food_DB!$F$2+E160/100*Food_DB!$F$3+F160/30*Food_DB!$F$4+G160*Food_DB!$F$5+H160/100*Food_DB!$F$6+I160/100*Food_DB!$F$7+IFERROR(K160/100*VLOOKUP(J160,Food_DB!$A$2:$F$14,6,FALSE),0)+L160*Food_DB!$F$8</f>
        <v>178.15</v>
      </c>
      <c r="AA160">
        <v>6.5</v>
      </c>
      <c r="AB160">
        <v>30</v>
      </c>
      <c r="AC160">
        <v>0</v>
      </c>
      <c r="AD160">
        <v>0</v>
      </c>
      <c r="AE160">
        <f>Dashboard!$B$6*AA160+Dashboard!$B$6*4*AB160/60+Dashboard!$B$6*8*AC160/120+Dashboard!$B$6*7*AD160</f>
        <v>680</v>
      </c>
      <c r="AF160">
        <f>Dashboard!$B$5</f>
        <v>1700</v>
      </c>
      <c r="AG160">
        <f t="shared" si="10"/>
        <v>2720</v>
      </c>
      <c r="AH160">
        <f t="shared" si="11"/>
        <v>-1332.5</v>
      </c>
    </row>
    <row r="161" spans="1:34">
      <c r="A161">
        <v>46337</v>
      </c>
      <c r="B161" t="s">
        <v>92</v>
      </c>
      <c r="C161" t="s">
        <v>89</v>
      </c>
      <c r="D161">
        <v>2</v>
      </c>
      <c r="E161">
        <v>400</v>
      </c>
      <c r="F161">
        <v>30</v>
      </c>
      <c r="G161">
        <v>1</v>
      </c>
      <c r="H161">
        <v>150</v>
      </c>
      <c r="I161">
        <v>250</v>
      </c>
      <c r="J161" t="s">
        <v>90</v>
      </c>
      <c r="K161">
        <v>250</v>
      </c>
      <c r="L161">
        <v>3</v>
      </c>
      <c r="M161">
        <v>0</v>
      </c>
      <c r="N161">
        <f>D161*Food_DB!$C$2</f>
        <v>150</v>
      </c>
      <c r="O161">
        <f>E161/100*Food_DB!$C$3</f>
        <v>260</v>
      </c>
      <c r="P161">
        <f>F161/30*Food_DB!$C$4</f>
        <v>111</v>
      </c>
      <c r="Q161">
        <f>G161*Food_DB!$C$5</f>
        <v>222</v>
      </c>
      <c r="R161">
        <f>H161/100*Food_DB!$C$6</f>
        <v>12</v>
      </c>
      <c r="S161">
        <f>I161/100*Food_DB!$C$7</f>
        <v>62.5</v>
      </c>
      <c r="T161">
        <f>IFERROR(K161/100*VLOOKUP(J161,Food_DB!$A$2:$F$14,3,FALSE),0)</f>
        <v>575</v>
      </c>
      <c r="U161">
        <f>L161*Food_DB!$C$8</f>
        <v>270</v>
      </c>
      <c r="V161">
        <f t="shared" si="8"/>
        <v>0</v>
      </c>
      <c r="W161">
        <f t="shared" si="9"/>
        <v>1662.5</v>
      </c>
      <c r="X161">
        <f>D161*Food_DB!$D$2+E161/100*Food_DB!$D$3+F161/30*Food_DB!$D$4+G161*Food_DB!$D$5+H161/100*Food_DB!$D$6+I161/100*Food_DB!$D$7+IFERROR(K161/100*VLOOKUP(J161,Food_DB!$A$2:$F$14,4,FALSE),0)+L161*Food_DB!$D$8</f>
        <v>87.999999999999986</v>
      </c>
      <c r="Y161">
        <f>D161*Food_DB!$E$2+E161/100*Food_DB!$E$3+F161/30*Food_DB!$E$4+G161*Food_DB!$E$5+H161/100*Food_DB!$E$6+I161/100*Food_DB!$E$7+IFERROR(K161/100*VLOOKUP(J161,Food_DB!$A$2:$F$14,5,FALSE),0)+L161*Food_DB!$E$8</f>
        <v>68.599999999999994</v>
      </c>
      <c r="Z161">
        <f>D161*Food_DB!$F$2+E161/100*Food_DB!$F$3+F161/30*Food_DB!$F$4+G161*Food_DB!$F$5+H161/100*Food_DB!$F$6+I161/100*Food_DB!$F$7+IFERROR(K161/100*VLOOKUP(J161,Food_DB!$A$2:$F$14,6,FALSE),0)+L161*Food_DB!$F$8</f>
        <v>178.15</v>
      </c>
      <c r="AA161">
        <v>6.5</v>
      </c>
      <c r="AB161">
        <v>30</v>
      </c>
      <c r="AC161">
        <v>0</v>
      </c>
      <c r="AD161">
        <v>0</v>
      </c>
      <c r="AE161">
        <f>Dashboard!$B$6*AA161+Dashboard!$B$6*4*AB161/60+Dashboard!$B$6*8*AC161/120+Dashboard!$B$6*7*AD161</f>
        <v>680</v>
      </c>
      <c r="AF161">
        <f>Dashboard!$B$5</f>
        <v>1700</v>
      </c>
      <c r="AG161">
        <f t="shared" si="10"/>
        <v>2720</v>
      </c>
      <c r="AH161">
        <f t="shared" si="11"/>
        <v>-1057.5</v>
      </c>
    </row>
    <row r="162" spans="1:34">
      <c r="A162">
        <v>46338</v>
      </c>
      <c r="B162" t="s">
        <v>93</v>
      </c>
      <c r="C162" t="s">
        <v>89</v>
      </c>
      <c r="D162">
        <v>2</v>
      </c>
      <c r="E162">
        <v>400</v>
      </c>
      <c r="F162">
        <v>30</v>
      </c>
      <c r="G162">
        <v>1</v>
      </c>
      <c r="H162">
        <v>150</v>
      </c>
      <c r="I162">
        <v>250</v>
      </c>
      <c r="J162" t="s">
        <v>82</v>
      </c>
      <c r="K162">
        <v>250</v>
      </c>
      <c r="L162">
        <v>3</v>
      </c>
      <c r="M162">
        <v>0</v>
      </c>
      <c r="N162">
        <f>D162*Food_DB!$C$2</f>
        <v>150</v>
      </c>
      <c r="O162">
        <f>E162/100*Food_DB!$C$3</f>
        <v>260</v>
      </c>
      <c r="P162">
        <f>F162/30*Food_DB!$C$4</f>
        <v>111</v>
      </c>
      <c r="Q162">
        <f>G162*Food_DB!$C$5</f>
        <v>222</v>
      </c>
      <c r="R162">
        <f>H162/100*Food_DB!$C$6</f>
        <v>12</v>
      </c>
      <c r="S162">
        <f>I162/100*Food_DB!$C$7</f>
        <v>62.5</v>
      </c>
      <c r="T162">
        <f>IFERROR(K162/100*VLOOKUP(J162,Food_DB!$A$2:$F$14,3,FALSE),0)</f>
        <v>550</v>
      </c>
      <c r="U162">
        <f>L162*Food_DB!$C$8</f>
        <v>270</v>
      </c>
      <c r="V162">
        <f t="shared" si="8"/>
        <v>0</v>
      </c>
      <c r="W162">
        <f t="shared" si="9"/>
        <v>1637.5</v>
      </c>
      <c r="X162">
        <f>D162*Food_DB!$D$2+E162/100*Food_DB!$D$3+F162/30*Food_DB!$D$4+G162*Food_DB!$D$5+H162/100*Food_DB!$D$6+I162/100*Food_DB!$D$7+IFERROR(K162/100*VLOOKUP(J162,Food_DB!$A$2:$F$14,4,FALSE),0)+L162*Food_DB!$D$8</f>
        <v>92.999999999999986</v>
      </c>
      <c r="Y162">
        <f>D162*Food_DB!$E$2+E162/100*Food_DB!$E$3+F162/30*Food_DB!$E$4+G162*Food_DB!$E$5+H162/100*Food_DB!$E$6+I162/100*Food_DB!$E$7+IFERROR(K162/100*VLOOKUP(J162,Food_DB!$A$2:$F$14,5,FALSE),0)+L162*Food_DB!$E$8</f>
        <v>63.6</v>
      </c>
      <c r="Z162">
        <f>D162*Food_DB!$F$2+E162/100*Food_DB!$F$3+F162/30*Food_DB!$F$4+G162*Food_DB!$F$5+H162/100*Food_DB!$F$6+I162/100*Food_DB!$F$7+IFERROR(K162/100*VLOOKUP(J162,Food_DB!$A$2:$F$14,6,FALSE),0)+L162*Food_DB!$F$8</f>
        <v>178.15</v>
      </c>
      <c r="AA162">
        <v>6.5</v>
      </c>
      <c r="AB162">
        <v>30</v>
      </c>
      <c r="AC162">
        <v>0</v>
      </c>
      <c r="AD162">
        <v>0</v>
      </c>
      <c r="AE162">
        <f>Dashboard!$B$6*AA162+Dashboard!$B$6*4*AB162/60+Dashboard!$B$6*8*AC162/120+Dashboard!$B$6*7*AD162</f>
        <v>680</v>
      </c>
      <c r="AF162">
        <f>Dashboard!$B$5</f>
        <v>1700</v>
      </c>
      <c r="AG162">
        <f t="shared" si="10"/>
        <v>2720</v>
      </c>
      <c r="AH162">
        <f t="shared" si="11"/>
        <v>-1082.5</v>
      </c>
    </row>
    <row r="163" spans="1:34">
      <c r="A163">
        <v>46339</v>
      </c>
      <c r="B163" t="s">
        <v>80</v>
      </c>
      <c r="C163" t="s">
        <v>81</v>
      </c>
      <c r="D163">
        <v>2</v>
      </c>
      <c r="E163">
        <v>400</v>
      </c>
      <c r="F163">
        <v>30</v>
      </c>
      <c r="G163">
        <v>1</v>
      </c>
      <c r="H163">
        <v>150</v>
      </c>
      <c r="I163">
        <v>250</v>
      </c>
      <c r="J163" t="s">
        <v>85</v>
      </c>
      <c r="K163">
        <v>250</v>
      </c>
      <c r="L163">
        <v>3</v>
      </c>
      <c r="M163">
        <v>1000</v>
      </c>
      <c r="N163">
        <f>D163*Food_DB!$C$2</f>
        <v>150</v>
      </c>
      <c r="O163">
        <f>E163/100*Food_DB!$C$3</f>
        <v>260</v>
      </c>
      <c r="P163">
        <f>F163/30*Food_DB!$C$4</f>
        <v>111</v>
      </c>
      <c r="Q163">
        <f>G163*Food_DB!$C$5</f>
        <v>222</v>
      </c>
      <c r="R163">
        <f>H163/100*Food_DB!$C$6</f>
        <v>12</v>
      </c>
      <c r="S163">
        <f>I163/100*Food_DB!$C$7</f>
        <v>62.5</v>
      </c>
      <c r="T163">
        <f>IFERROR(K163/100*VLOOKUP(J163,Food_DB!$A$2:$F$14,3,FALSE),0)</f>
        <v>450</v>
      </c>
      <c r="U163">
        <f>L163*Food_DB!$C$8</f>
        <v>270</v>
      </c>
      <c r="V163">
        <f t="shared" si="8"/>
        <v>1000</v>
      </c>
      <c r="W163">
        <f t="shared" si="9"/>
        <v>2537.5</v>
      </c>
      <c r="X163">
        <f>D163*Food_DB!$D$2+E163/100*Food_DB!$D$3+F163/30*Food_DB!$D$4+G163*Food_DB!$D$5+H163/100*Food_DB!$D$6+I163/100*Food_DB!$D$7+IFERROR(K163/100*VLOOKUP(J163,Food_DB!$A$2:$F$14,4,FALSE),0)+L163*Food_DB!$D$8</f>
        <v>92.999999999999986</v>
      </c>
      <c r="Y163">
        <f>D163*Food_DB!$E$2+E163/100*Food_DB!$E$3+F163/30*Food_DB!$E$4+G163*Food_DB!$E$5+H163/100*Food_DB!$E$6+I163/100*Food_DB!$E$7+IFERROR(K163/100*VLOOKUP(J163,Food_DB!$A$2:$F$14,5,FALSE),0)+L163*Food_DB!$E$8</f>
        <v>51.1</v>
      </c>
      <c r="Z163">
        <f>D163*Food_DB!$F$2+E163/100*Food_DB!$F$3+F163/30*Food_DB!$F$4+G163*Food_DB!$F$5+H163/100*Food_DB!$F$6+I163/100*Food_DB!$F$7+IFERROR(K163/100*VLOOKUP(J163,Food_DB!$A$2:$F$14,6,FALSE),0)+L163*Food_DB!$F$8</f>
        <v>178.15</v>
      </c>
      <c r="AA163">
        <v>6.5</v>
      </c>
      <c r="AB163">
        <v>30</v>
      </c>
      <c r="AC163">
        <v>0</v>
      </c>
      <c r="AD163">
        <v>0</v>
      </c>
      <c r="AE163">
        <f>Dashboard!$B$6*AA163+Dashboard!$B$6*4*AB163/60+Dashboard!$B$6*8*AC163/120+Dashboard!$B$6*7*AD163</f>
        <v>680</v>
      </c>
      <c r="AF163">
        <f>Dashboard!$B$5</f>
        <v>1700</v>
      </c>
      <c r="AG163">
        <f t="shared" si="10"/>
        <v>2720</v>
      </c>
      <c r="AH163">
        <f t="shared" si="11"/>
        <v>-182.5</v>
      </c>
    </row>
    <row r="164" spans="1:34">
      <c r="A164">
        <v>46340</v>
      </c>
      <c r="B164" t="s">
        <v>83</v>
      </c>
      <c r="C164" t="s">
        <v>84</v>
      </c>
      <c r="D164">
        <v>2</v>
      </c>
      <c r="E164">
        <v>400</v>
      </c>
      <c r="F164">
        <v>30</v>
      </c>
      <c r="G164">
        <v>1</v>
      </c>
      <c r="H164">
        <v>150</v>
      </c>
      <c r="I164">
        <v>250</v>
      </c>
      <c r="J164" t="s">
        <v>87</v>
      </c>
      <c r="K164">
        <v>250</v>
      </c>
      <c r="L164">
        <v>3</v>
      </c>
      <c r="M164">
        <v>0</v>
      </c>
      <c r="N164">
        <f>D164*Food_DB!$C$2</f>
        <v>150</v>
      </c>
      <c r="O164">
        <f>E164/100*Food_DB!$C$3</f>
        <v>260</v>
      </c>
      <c r="P164">
        <f>F164/30*Food_DB!$C$4</f>
        <v>111</v>
      </c>
      <c r="Q164">
        <f>G164*Food_DB!$C$5</f>
        <v>222</v>
      </c>
      <c r="R164">
        <f>H164/100*Food_DB!$C$6</f>
        <v>12</v>
      </c>
      <c r="S164">
        <f>I164/100*Food_DB!$C$7</f>
        <v>62.5</v>
      </c>
      <c r="T164">
        <f>IFERROR(K164/100*VLOOKUP(J164,Food_DB!$A$2:$F$14,3,FALSE),0)</f>
        <v>300</v>
      </c>
      <c r="U164">
        <f>L164*Food_DB!$C$8</f>
        <v>270</v>
      </c>
      <c r="V164">
        <f t="shared" si="8"/>
        <v>0</v>
      </c>
      <c r="W164">
        <f t="shared" si="9"/>
        <v>1387.5</v>
      </c>
      <c r="X164">
        <f>D164*Food_DB!$D$2+E164/100*Food_DB!$D$3+F164/30*Food_DB!$D$4+G164*Food_DB!$D$5+H164/100*Food_DB!$D$6+I164/100*Food_DB!$D$7+IFERROR(K164/100*VLOOKUP(J164,Food_DB!$A$2:$F$14,4,FALSE),0)+L164*Food_DB!$D$8</f>
        <v>100.49999999999999</v>
      </c>
      <c r="Y164">
        <f>D164*Food_DB!$E$2+E164/100*Food_DB!$E$3+F164/30*Food_DB!$E$4+G164*Food_DB!$E$5+H164/100*Food_DB!$E$6+I164/100*Food_DB!$E$7+IFERROR(K164/100*VLOOKUP(J164,Food_DB!$A$2:$F$14,5,FALSE),0)+L164*Food_DB!$E$8</f>
        <v>32.35</v>
      </c>
      <c r="Z164">
        <f>D164*Food_DB!$F$2+E164/100*Food_DB!$F$3+F164/30*Food_DB!$F$4+G164*Food_DB!$F$5+H164/100*Food_DB!$F$6+I164/100*Food_DB!$F$7+IFERROR(K164/100*VLOOKUP(J164,Food_DB!$A$2:$F$14,6,FALSE),0)+L164*Food_DB!$F$8</f>
        <v>178.15</v>
      </c>
      <c r="AA164">
        <v>0</v>
      </c>
      <c r="AB164">
        <v>0</v>
      </c>
      <c r="AC164">
        <v>0</v>
      </c>
      <c r="AD164">
        <v>3.5</v>
      </c>
      <c r="AE164">
        <f>Dashboard!$B$6*AA164+Dashboard!$B$6*4*AB164/60+Dashboard!$B$6*8*AC164/120+Dashboard!$B$6*7*AD164</f>
        <v>1960</v>
      </c>
      <c r="AF164">
        <f>Dashboard!$B$5</f>
        <v>1700</v>
      </c>
      <c r="AG164">
        <f t="shared" si="10"/>
        <v>4000</v>
      </c>
      <c r="AH164">
        <f t="shared" si="11"/>
        <v>-2612.5</v>
      </c>
    </row>
    <row r="165" spans="1:34">
      <c r="A165">
        <v>46341</v>
      </c>
      <c r="B165" t="s">
        <v>86</v>
      </c>
      <c r="C165" t="s">
        <v>84</v>
      </c>
      <c r="D165">
        <v>2</v>
      </c>
      <c r="E165">
        <v>400</v>
      </c>
      <c r="F165">
        <v>30</v>
      </c>
      <c r="G165">
        <v>1</v>
      </c>
      <c r="H165">
        <v>150</v>
      </c>
      <c r="I165">
        <v>250</v>
      </c>
      <c r="J165" t="s">
        <v>90</v>
      </c>
      <c r="K165">
        <v>250</v>
      </c>
      <c r="L165">
        <v>3</v>
      </c>
      <c r="M165">
        <v>0</v>
      </c>
      <c r="N165">
        <f>D165*Food_DB!$C$2</f>
        <v>150</v>
      </c>
      <c r="O165">
        <f>E165/100*Food_DB!$C$3</f>
        <v>260</v>
      </c>
      <c r="P165">
        <f>F165/30*Food_DB!$C$4</f>
        <v>111</v>
      </c>
      <c r="Q165">
        <f>G165*Food_DB!$C$5</f>
        <v>222</v>
      </c>
      <c r="R165">
        <f>H165/100*Food_DB!$C$6</f>
        <v>12</v>
      </c>
      <c r="S165">
        <f>I165/100*Food_DB!$C$7</f>
        <v>62.5</v>
      </c>
      <c r="T165">
        <f>IFERROR(K165/100*VLOOKUP(J165,Food_DB!$A$2:$F$14,3,FALSE),0)</f>
        <v>575</v>
      </c>
      <c r="U165">
        <f>L165*Food_DB!$C$8</f>
        <v>270</v>
      </c>
      <c r="V165">
        <f t="shared" si="8"/>
        <v>0</v>
      </c>
      <c r="W165">
        <f t="shared" si="9"/>
        <v>1662.5</v>
      </c>
      <c r="X165">
        <f>D165*Food_DB!$D$2+E165/100*Food_DB!$D$3+F165/30*Food_DB!$D$4+G165*Food_DB!$D$5+H165/100*Food_DB!$D$6+I165/100*Food_DB!$D$7+IFERROR(K165/100*VLOOKUP(J165,Food_DB!$A$2:$F$14,4,FALSE),0)+L165*Food_DB!$D$8</f>
        <v>87.999999999999986</v>
      </c>
      <c r="Y165">
        <f>D165*Food_DB!$E$2+E165/100*Food_DB!$E$3+F165/30*Food_DB!$E$4+G165*Food_DB!$E$5+H165/100*Food_DB!$E$6+I165/100*Food_DB!$E$7+IFERROR(K165/100*VLOOKUP(J165,Food_DB!$A$2:$F$14,5,FALSE),0)+L165*Food_DB!$E$8</f>
        <v>68.599999999999994</v>
      </c>
      <c r="Z165">
        <f>D165*Food_DB!$F$2+E165/100*Food_DB!$F$3+F165/30*Food_DB!$F$4+G165*Food_DB!$F$5+H165/100*Food_DB!$F$6+I165/100*Food_DB!$F$7+IFERROR(K165/100*VLOOKUP(J165,Food_DB!$A$2:$F$14,6,FALSE),0)+L165*Food_DB!$F$8</f>
        <v>178.15</v>
      </c>
      <c r="AA165">
        <v>0</v>
      </c>
      <c r="AB165">
        <v>0</v>
      </c>
      <c r="AC165">
        <v>0</v>
      </c>
      <c r="AD165">
        <v>3.5</v>
      </c>
      <c r="AE165">
        <f>Dashboard!$B$6*AA165+Dashboard!$B$6*4*AB165/60+Dashboard!$B$6*8*AC165/120+Dashboard!$B$6*7*AD165</f>
        <v>1960</v>
      </c>
      <c r="AF165">
        <f>Dashboard!$B$5</f>
        <v>1700</v>
      </c>
      <c r="AG165">
        <f t="shared" si="10"/>
        <v>4000</v>
      </c>
      <c r="AH165">
        <f t="shared" si="11"/>
        <v>-2337.5</v>
      </c>
    </row>
    <row r="166" spans="1:34">
      <c r="A166">
        <v>46342</v>
      </c>
      <c r="B166" t="s">
        <v>88</v>
      </c>
      <c r="C166" t="s">
        <v>89</v>
      </c>
      <c r="D166">
        <v>2</v>
      </c>
      <c r="E166">
        <v>400</v>
      </c>
      <c r="F166">
        <v>30</v>
      </c>
      <c r="G166">
        <v>1</v>
      </c>
      <c r="H166">
        <v>150</v>
      </c>
      <c r="I166">
        <v>250</v>
      </c>
      <c r="J166" t="s">
        <v>82</v>
      </c>
      <c r="K166">
        <v>250</v>
      </c>
      <c r="L166">
        <v>3</v>
      </c>
      <c r="M166">
        <v>0</v>
      </c>
      <c r="N166">
        <f>D166*Food_DB!$C$2</f>
        <v>150</v>
      </c>
      <c r="O166">
        <f>E166/100*Food_DB!$C$3</f>
        <v>260</v>
      </c>
      <c r="P166">
        <f>F166/30*Food_DB!$C$4</f>
        <v>111</v>
      </c>
      <c r="Q166">
        <f>G166*Food_DB!$C$5</f>
        <v>222</v>
      </c>
      <c r="R166">
        <f>H166/100*Food_DB!$C$6</f>
        <v>12</v>
      </c>
      <c r="S166">
        <f>I166/100*Food_DB!$C$7</f>
        <v>62.5</v>
      </c>
      <c r="T166">
        <f>IFERROR(K166/100*VLOOKUP(J166,Food_DB!$A$2:$F$14,3,FALSE),0)</f>
        <v>550</v>
      </c>
      <c r="U166">
        <f>L166*Food_DB!$C$8</f>
        <v>270</v>
      </c>
      <c r="V166">
        <f t="shared" si="8"/>
        <v>0</v>
      </c>
      <c r="W166">
        <f t="shared" si="9"/>
        <v>1637.5</v>
      </c>
      <c r="X166">
        <f>D166*Food_DB!$D$2+E166/100*Food_DB!$D$3+F166/30*Food_DB!$D$4+G166*Food_DB!$D$5+H166/100*Food_DB!$D$6+I166/100*Food_DB!$D$7+IFERROR(K166/100*VLOOKUP(J166,Food_DB!$A$2:$F$14,4,FALSE),0)+L166*Food_DB!$D$8</f>
        <v>92.999999999999986</v>
      </c>
      <c r="Y166">
        <f>D166*Food_DB!$E$2+E166/100*Food_DB!$E$3+F166/30*Food_DB!$E$4+G166*Food_DB!$E$5+H166/100*Food_DB!$E$6+I166/100*Food_DB!$E$7+IFERROR(K166/100*VLOOKUP(J166,Food_DB!$A$2:$F$14,5,FALSE),0)+L166*Food_DB!$E$8</f>
        <v>63.6</v>
      </c>
      <c r="Z166">
        <f>D166*Food_DB!$F$2+E166/100*Food_DB!$F$3+F166/30*Food_DB!$F$4+G166*Food_DB!$F$5+H166/100*Food_DB!$F$6+I166/100*Food_DB!$F$7+IFERROR(K166/100*VLOOKUP(J166,Food_DB!$A$2:$F$14,6,FALSE),0)+L166*Food_DB!$F$8</f>
        <v>178.15</v>
      </c>
      <c r="AA166">
        <v>6.5</v>
      </c>
      <c r="AB166">
        <v>30</v>
      </c>
      <c r="AC166">
        <v>0</v>
      </c>
      <c r="AD166">
        <v>0</v>
      </c>
      <c r="AE166">
        <f>Dashboard!$B$6*AA166+Dashboard!$B$6*4*AB166/60+Dashboard!$B$6*8*AC166/120+Dashboard!$B$6*7*AD166</f>
        <v>680</v>
      </c>
      <c r="AF166">
        <f>Dashboard!$B$5</f>
        <v>1700</v>
      </c>
      <c r="AG166">
        <f t="shared" si="10"/>
        <v>2720</v>
      </c>
      <c r="AH166">
        <f t="shared" si="11"/>
        <v>-1082.5</v>
      </c>
    </row>
    <row r="167" spans="1:34">
      <c r="A167">
        <v>46343</v>
      </c>
      <c r="B167" t="s">
        <v>91</v>
      </c>
      <c r="C167" t="s">
        <v>89</v>
      </c>
      <c r="D167">
        <v>2</v>
      </c>
      <c r="E167">
        <v>400</v>
      </c>
      <c r="F167">
        <v>30</v>
      </c>
      <c r="G167">
        <v>1</v>
      </c>
      <c r="H167">
        <v>150</v>
      </c>
      <c r="I167">
        <v>250</v>
      </c>
      <c r="J167" t="s">
        <v>85</v>
      </c>
      <c r="K167">
        <v>250</v>
      </c>
      <c r="L167">
        <v>3</v>
      </c>
      <c r="M167">
        <v>0</v>
      </c>
      <c r="N167">
        <f>D167*Food_DB!$C$2</f>
        <v>150</v>
      </c>
      <c r="O167">
        <f>E167/100*Food_DB!$C$3</f>
        <v>260</v>
      </c>
      <c r="P167">
        <f>F167/30*Food_DB!$C$4</f>
        <v>111</v>
      </c>
      <c r="Q167">
        <f>G167*Food_DB!$C$5</f>
        <v>222</v>
      </c>
      <c r="R167">
        <f>H167/100*Food_DB!$C$6</f>
        <v>12</v>
      </c>
      <c r="S167">
        <f>I167/100*Food_DB!$C$7</f>
        <v>62.5</v>
      </c>
      <c r="T167">
        <f>IFERROR(K167/100*VLOOKUP(J167,Food_DB!$A$2:$F$14,3,FALSE),0)</f>
        <v>450</v>
      </c>
      <c r="U167">
        <f>L167*Food_DB!$C$8</f>
        <v>270</v>
      </c>
      <c r="V167">
        <f t="shared" si="8"/>
        <v>0</v>
      </c>
      <c r="W167">
        <f t="shared" si="9"/>
        <v>1537.5</v>
      </c>
      <c r="X167">
        <f>D167*Food_DB!$D$2+E167/100*Food_DB!$D$3+F167/30*Food_DB!$D$4+G167*Food_DB!$D$5+H167/100*Food_DB!$D$6+I167/100*Food_DB!$D$7+IFERROR(K167/100*VLOOKUP(J167,Food_DB!$A$2:$F$14,4,FALSE),0)+L167*Food_DB!$D$8</f>
        <v>92.999999999999986</v>
      </c>
      <c r="Y167">
        <f>D167*Food_DB!$E$2+E167/100*Food_DB!$E$3+F167/30*Food_DB!$E$4+G167*Food_DB!$E$5+H167/100*Food_DB!$E$6+I167/100*Food_DB!$E$7+IFERROR(K167/100*VLOOKUP(J167,Food_DB!$A$2:$F$14,5,FALSE),0)+L167*Food_DB!$E$8</f>
        <v>51.1</v>
      </c>
      <c r="Z167">
        <f>D167*Food_DB!$F$2+E167/100*Food_DB!$F$3+F167/30*Food_DB!$F$4+G167*Food_DB!$F$5+H167/100*Food_DB!$F$6+I167/100*Food_DB!$F$7+IFERROR(K167/100*VLOOKUP(J167,Food_DB!$A$2:$F$14,6,FALSE),0)+L167*Food_DB!$F$8</f>
        <v>178.15</v>
      </c>
      <c r="AA167">
        <v>6.5</v>
      </c>
      <c r="AB167">
        <v>30</v>
      </c>
      <c r="AC167">
        <v>0</v>
      </c>
      <c r="AD167">
        <v>0</v>
      </c>
      <c r="AE167">
        <f>Dashboard!$B$6*AA167+Dashboard!$B$6*4*AB167/60+Dashboard!$B$6*8*AC167/120+Dashboard!$B$6*7*AD167</f>
        <v>680</v>
      </c>
      <c r="AF167">
        <f>Dashboard!$B$5</f>
        <v>1700</v>
      </c>
      <c r="AG167">
        <f t="shared" si="10"/>
        <v>2720</v>
      </c>
      <c r="AH167">
        <f t="shared" si="11"/>
        <v>-1182.5</v>
      </c>
    </row>
    <row r="168" spans="1:34">
      <c r="A168">
        <v>46344</v>
      </c>
      <c r="B168" t="s">
        <v>92</v>
      </c>
      <c r="C168" t="s">
        <v>89</v>
      </c>
      <c r="D168">
        <v>2</v>
      </c>
      <c r="E168">
        <v>400</v>
      </c>
      <c r="F168">
        <v>30</v>
      </c>
      <c r="G168">
        <v>1</v>
      </c>
      <c r="H168">
        <v>150</v>
      </c>
      <c r="I168">
        <v>250</v>
      </c>
      <c r="J168" t="s">
        <v>87</v>
      </c>
      <c r="K168">
        <v>250</v>
      </c>
      <c r="L168">
        <v>3</v>
      </c>
      <c r="M168">
        <v>0</v>
      </c>
      <c r="N168">
        <f>D168*Food_DB!$C$2</f>
        <v>150</v>
      </c>
      <c r="O168">
        <f>E168/100*Food_DB!$C$3</f>
        <v>260</v>
      </c>
      <c r="P168">
        <f>F168/30*Food_DB!$C$4</f>
        <v>111</v>
      </c>
      <c r="Q168">
        <f>G168*Food_DB!$C$5</f>
        <v>222</v>
      </c>
      <c r="R168">
        <f>H168/100*Food_DB!$C$6</f>
        <v>12</v>
      </c>
      <c r="S168">
        <f>I168/100*Food_DB!$C$7</f>
        <v>62.5</v>
      </c>
      <c r="T168">
        <f>IFERROR(K168/100*VLOOKUP(J168,Food_DB!$A$2:$F$14,3,FALSE),0)</f>
        <v>300</v>
      </c>
      <c r="U168">
        <f>L168*Food_DB!$C$8</f>
        <v>270</v>
      </c>
      <c r="V168">
        <f t="shared" si="8"/>
        <v>0</v>
      </c>
      <c r="W168">
        <f t="shared" si="9"/>
        <v>1387.5</v>
      </c>
      <c r="X168">
        <f>D168*Food_DB!$D$2+E168/100*Food_DB!$D$3+F168/30*Food_DB!$D$4+G168*Food_DB!$D$5+H168/100*Food_DB!$D$6+I168/100*Food_DB!$D$7+IFERROR(K168/100*VLOOKUP(J168,Food_DB!$A$2:$F$14,4,FALSE),0)+L168*Food_DB!$D$8</f>
        <v>100.49999999999999</v>
      </c>
      <c r="Y168">
        <f>D168*Food_DB!$E$2+E168/100*Food_DB!$E$3+F168/30*Food_DB!$E$4+G168*Food_DB!$E$5+H168/100*Food_DB!$E$6+I168/100*Food_DB!$E$7+IFERROR(K168/100*VLOOKUP(J168,Food_DB!$A$2:$F$14,5,FALSE),0)+L168*Food_DB!$E$8</f>
        <v>32.35</v>
      </c>
      <c r="Z168">
        <f>D168*Food_DB!$F$2+E168/100*Food_DB!$F$3+F168/30*Food_DB!$F$4+G168*Food_DB!$F$5+H168/100*Food_DB!$F$6+I168/100*Food_DB!$F$7+IFERROR(K168/100*VLOOKUP(J168,Food_DB!$A$2:$F$14,6,FALSE),0)+L168*Food_DB!$F$8</f>
        <v>178.15</v>
      </c>
      <c r="AA168">
        <v>6.5</v>
      </c>
      <c r="AB168">
        <v>30</v>
      </c>
      <c r="AC168">
        <v>0</v>
      </c>
      <c r="AD168">
        <v>0</v>
      </c>
      <c r="AE168">
        <f>Dashboard!$B$6*AA168+Dashboard!$B$6*4*AB168/60+Dashboard!$B$6*8*AC168/120+Dashboard!$B$6*7*AD168</f>
        <v>680</v>
      </c>
      <c r="AF168">
        <f>Dashboard!$B$5</f>
        <v>1700</v>
      </c>
      <c r="AG168">
        <f t="shared" si="10"/>
        <v>2720</v>
      </c>
      <c r="AH168">
        <f t="shared" si="11"/>
        <v>-1332.5</v>
      </c>
    </row>
    <row r="169" spans="1:34">
      <c r="A169">
        <v>46345</v>
      </c>
      <c r="B169" t="s">
        <v>93</v>
      </c>
      <c r="C169" t="s">
        <v>89</v>
      </c>
      <c r="D169">
        <v>2</v>
      </c>
      <c r="E169">
        <v>400</v>
      </c>
      <c r="F169">
        <v>30</v>
      </c>
      <c r="G169">
        <v>1</v>
      </c>
      <c r="H169">
        <v>150</v>
      </c>
      <c r="I169">
        <v>250</v>
      </c>
      <c r="J169" t="s">
        <v>90</v>
      </c>
      <c r="K169">
        <v>250</v>
      </c>
      <c r="L169">
        <v>3</v>
      </c>
      <c r="M169">
        <v>0</v>
      </c>
      <c r="N169">
        <f>D169*Food_DB!$C$2</f>
        <v>150</v>
      </c>
      <c r="O169">
        <f>E169/100*Food_DB!$C$3</f>
        <v>260</v>
      </c>
      <c r="P169">
        <f>F169/30*Food_DB!$C$4</f>
        <v>111</v>
      </c>
      <c r="Q169">
        <f>G169*Food_DB!$C$5</f>
        <v>222</v>
      </c>
      <c r="R169">
        <f>H169/100*Food_DB!$C$6</f>
        <v>12</v>
      </c>
      <c r="S169">
        <f>I169/100*Food_DB!$C$7</f>
        <v>62.5</v>
      </c>
      <c r="T169">
        <f>IFERROR(K169/100*VLOOKUP(J169,Food_DB!$A$2:$F$14,3,FALSE),0)</f>
        <v>575</v>
      </c>
      <c r="U169">
        <f>L169*Food_DB!$C$8</f>
        <v>270</v>
      </c>
      <c r="V169">
        <f t="shared" si="8"/>
        <v>0</v>
      </c>
      <c r="W169">
        <f t="shared" si="9"/>
        <v>1662.5</v>
      </c>
      <c r="X169">
        <f>D169*Food_DB!$D$2+E169/100*Food_DB!$D$3+F169/30*Food_DB!$D$4+G169*Food_DB!$D$5+H169/100*Food_DB!$D$6+I169/100*Food_DB!$D$7+IFERROR(K169/100*VLOOKUP(J169,Food_DB!$A$2:$F$14,4,FALSE),0)+L169*Food_DB!$D$8</f>
        <v>87.999999999999986</v>
      </c>
      <c r="Y169">
        <f>D169*Food_DB!$E$2+E169/100*Food_DB!$E$3+F169/30*Food_DB!$E$4+G169*Food_DB!$E$5+H169/100*Food_DB!$E$6+I169/100*Food_DB!$E$7+IFERROR(K169/100*VLOOKUP(J169,Food_DB!$A$2:$F$14,5,FALSE),0)+L169*Food_DB!$E$8</f>
        <v>68.599999999999994</v>
      </c>
      <c r="Z169">
        <f>D169*Food_DB!$F$2+E169/100*Food_DB!$F$3+F169/30*Food_DB!$F$4+G169*Food_DB!$F$5+H169/100*Food_DB!$F$6+I169/100*Food_DB!$F$7+IFERROR(K169/100*VLOOKUP(J169,Food_DB!$A$2:$F$14,6,FALSE),0)+L169*Food_DB!$F$8</f>
        <v>178.15</v>
      </c>
      <c r="AA169">
        <v>6.5</v>
      </c>
      <c r="AB169">
        <v>30</v>
      </c>
      <c r="AC169">
        <v>0</v>
      </c>
      <c r="AD169">
        <v>0</v>
      </c>
      <c r="AE169">
        <f>Dashboard!$B$6*AA169+Dashboard!$B$6*4*AB169/60+Dashboard!$B$6*8*AC169/120+Dashboard!$B$6*7*AD169</f>
        <v>680</v>
      </c>
      <c r="AF169">
        <f>Dashboard!$B$5</f>
        <v>1700</v>
      </c>
      <c r="AG169">
        <f t="shared" si="10"/>
        <v>2720</v>
      </c>
      <c r="AH169">
        <f t="shared" si="11"/>
        <v>-1057.5</v>
      </c>
    </row>
    <row r="170" spans="1:34">
      <c r="A170">
        <v>46346</v>
      </c>
      <c r="B170" t="s">
        <v>80</v>
      </c>
      <c r="C170" t="s">
        <v>81</v>
      </c>
      <c r="D170">
        <v>2</v>
      </c>
      <c r="E170">
        <v>400</v>
      </c>
      <c r="F170">
        <v>30</v>
      </c>
      <c r="G170">
        <v>1</v>
      </c>
      <c r="H170">
        <v>150</v>
      </c>
      <c r="I170">
        <v>250</v>
      </c>
      <c r="J170" t="s">
        <v>82</v>
      </c>
      <c r="K170">
        <v>250</v>
      </c>
      <c r="L170">
        <v>3</v>
      </c>
      <c r="M170">
        <v>1000</v>
      </c>
      <c r="N170">
        <f>D170*Food_DB!$C$2</f>
        <v>150</v>
      </c>
      <c r="O170">
        <f>E170/100*Food_DB!$C$3</f>
        <v>260</v>
      </c>
      <c r="P170">
        <f>F170/30*Food_DB!$C$4</f>
        <v>111</v>
      </c>
      <c r="Q170">
        <f>G170*Food_DB!$C$5</f>
        <v>222</v>
      </c>
      <c r="R170">
        <f>H170/100*Food_DB!$C$6</f>
        <v>12</v>
      </c>
      <c r="S170">
        <f>I170/100*Food_DB!$C$7</f>
        <v>62.5</v>
      </c>
      <c r="T170">
        <f>IFERROR(K170/100*VLOOKUP(J170,Food_DB!$A$2:$F$14,3,FALSE),0)</f>
        <v>550</v>
      </c>
      <c r="U170">
        <f>L170*Food_DB!$C$8</f>
        <v>270</v>
      </c>
      <c r="V170">
        <f t="shared" si="8"/>
        <v>1000</v>
      </c>
      <c r="W170">
        <f t="shared" si="9"/>
        <v>2637.5</v>
      </c>
      <c r="X170">
        <f>D170*Food_DB!$D$2+E170/100*Food_DB!$D$3+F170/30*Food_DB!$D$4+G170*Food_DB!$D$5+H170/100*Food_DB!$D$6+I170/100*Food_DB!$D$7+IFERROR(K170/100*VLOOKUP(J170,Food_DB!$A$2:$F$14,4,FALSE),0)+L170*Food_DB!$D$8</f>
        <v>92.999999999999986</v>
      </c>
      <c r="Y170">
        <f>D170*Food_DB!$E$2+E170/100*Food_DB!$E$3+F170/30*Food_DB!$E$4+G170*Food_DB!$E$5+H170/100*Food_DB!$E$6+I170/100*Food_DB!$E$7+IFERROR(K170/100*VLOOKUP(J170,Food_DB!$A$2:$F$14,5,FALSE),0)+L170*Food_DB!$E$8</f>
        <v>63.6</v>
      </c>
      <c r="Z170">
        <f>D170*Food_DB!$F$2+E170/100*Food_DB!$F$3+F170/30*Food_DB!$F$4+G170*Food_DB!$F$5+H170/100*Food_DB!$F$6+I170/100*Food_DB!$F$7+IFERROR(K170/100*VLOOKUP(J170,Food_DB!$A$2:$F$14,6,FALSE),0)+L170*Food_DB!$F$8</f>
        <v>178.15</v>
      </c>
      <c r="AA170">
        <v>6.5</v>
      </c>
      <c r="AB170">
        <v>30</v>
      </c>
      <c r="AC170">
        <v>0</v>
      </c>
      <c r="AD170">
        <v>0</v>
      </c>
      <c r="AE170">
        <f>Dashboard!$B$6*AA170+Dashboard!$B$6*4*AB170/60+Dashboard!$B$6*8*AC170/120+Dashboard!$B$6*7*AD170</f>
        <v>680</v>
      </c>
      <c r="AF170">
        <f>Dashboard!$B$5</f>
        <v>1700</v>
      </c>
      <c r="AG170">
        <f t="shared" si="10"/>
        <v>2720</v>
      </c>
      <c r="AH170">
        <f t="shared" si="11"/>
        <v>-82.5</v>
      </c>
    </row>
    <row r="171" spans="1:34">
      <c r="A171">
        <v>46347</v>
      </c>
      <c r="B171" t="s">
        <v>83</v>
      </c>
      <c r="C171" t="s">
        <v>84</v>
      </c>
      <c r="D171">
        <v>2</v>
      </c>
      <c r="E171">
        <v>400</v>
      </c>
      <c r="F171">
        <v>30</v>
      </c>
      <c r="G171">
        <v>1</v>
      </c>
      <c r="H171">
        <v>150</v>
      </c>
      <c r="I171">
        <v>250</v>
      </c>
      <c r="J171" t="s">
        <v>85</v>
      </c>
      <c r="K171">
        <v>250</v>
      </c>
      <c r="L171">
        <v>3</v>
      </c>
      <c r="M171">
        <v>0</v>
      </c>
      <c r="N171">
        <f>D171*Food_DB!$C$2</f>
        <v>150</v>
      </c>
      <c r="O171">
        <f>E171/100*Food_DB!$C$3</f>
        <v>260</v>
      </c>
      <c r="P171">
        <f>F171/30*Food_DB!$C$4</f>
        <v>111</v>
      </c>
      <c r="Q171">
        <f>G171*Food_DB!$C$5</f>
        <v>222</v>
      </c>
      <c r="R171">
        <f>H171/100*Food_DB!$C$6</f>
        <v>12</v>
      </c>
      <c r="S171">
        <f>I171/100*Food_DB!$C$7</f>
        <v>62.5</v>
      </c>
      <c r="T171">
        <f>IFERROR(K171/100*VLOOKUP(J171,Food_DB!$A$2:$F$14,3,FALSE),0)</f>
        <v>450</v>
      </c>
      <c r="U171">
        <f>L171*Food_DB!$C$8</f>
        <v>270</v>
      </c>
      <c r="V171">
        <f t="shared" si="8"/>
        <v>0</v>
      </c>
      <c r="W171">
        <f t="shared" si="9"/>
        <v>1537.5</v>
      </c>
      <c r="X171">
        <f>D171*Food_DB!$D$2+E171/100*Food_DB!$D$3+F171/30*Food_DB!$D$4+G171*Food_DB!$D$5+H171/100*Food_DB!$D$6+I171/100*Food_DB!$D$7+IFERROR(K171/100*VLOOKUP(J171,Food_DB!$A$2:$F$14,4,FALSE),0)+L171*Food_DB!$D$8</f>
        <v>92.999999999999986</v>
      </c>
      <c r="Y171">
        <f>D171*Food_DB!$E$2+E171/100*Food_DB!$E$3+F171/30*Food_DB!$E$4+G171*Food_DB!$E$5+H171/100*Food_DB!$E$6+I171/100*Food_DB!$E$7+IFERROR(K171/100*VLOOKUP(J171,Food_DB!$A$2:$F$14,5,FALSE),0)+L171*Food_DB!$E$8</f>
        <v>51.1</v>
      </c>
      <c r="Z171">
        <f>D171*Food_DB!$F$2+E171/100*Food_DB!$F$3+F171/30*Food_DB!$F$4+G171*Food_DB!$F$5+H171/100*Food_DB!$F$6+I171/100*Food_DB!$F$7+IFERROR(K171/100*VLOOKUP(J171,Food_DB!$A$2:$F$14,6,FALSE),0)+L171*Food_DB!$F$8</f>
        <v>178.15</v>
      </c>
      <c r="AA171">
        <v>0</v>
      </c>
      <c r="AB171">
        <v>0</v>
      </c>
      <c r="AC171">
        <v>0</v>
      </c>
      <c r="AD171">
        <v>3.5</v>
      </c>
      <c r="AE171">
        <f>Dashboard!$B$6*AA171+Dashboard!$B$6*4*AB171/60+Dashboard!$B$6*8*AC171/120+Dashboard!$B$6*7*AD171</f>
        <v>1960</v>
      </c>
      <c r="AF171">
        <f>Dashboard!$B$5</f>
        <v>1700</v>
      </c>
      <c r="AG171">
        <f t="shared" si="10"/>
        <v>4000</v>
      </c>
      <c r="AH171">
        <f t="shared" si="11"/>
        <v>-2462.5</v>
      </c>
    </row>
    <row r="172" spans="1:34">
      <c r="A172">
        <v>46348</v>
      </c>
      <c r="B172" t="s">
        <v>86</v>
      </c>
      <c r="C172" t="s">
        <v>84</v>
      </c>
      <c r="D172">
        <v>2</v>
      </c>
      <c r="E172">
        <v>400</v>
      </c>
      <c r="F172">
        <v>30</v>
      </c>
      <c r="G172">
        <v>1</v>
      </c>
      <c r="H172">
        <v>150</v>
      </c>
      <c r="I172">
        <v>250</v>
      </c>
      <c r="J172" t="s">
        <v>87</v>
      </c>
      <c r="K172">
        <v>250</v>
      </c>
      <c r="L172">
        <v>3</v>
      </c>
      <c r="M172">
        <v>0</v>
      </c>
      <c r="N172">
        <f>D172*Food_DB!$C$2</f>
        <v>150</v>
      </c>
      <c r="O172">
        <f>E172/100*Food_DB!$C$3</f>
        <v>260</v>
      </c>
      <c r="P172">
        <f>F172/30*Food_DB!$C$4</f>
        <v>111</v>
      </c>
      <c r="Q172">
        <f>G172*Food_DB!$C$5</f>
        <v>222</v>
      </c>
      <c r="R172">
        <f>H172/100*Food_DB!$C$6</f>
        <v>12</v>
      </c>
      <c r="S172">
        <f>I172/100*Food_DB!$C$7</f>
        <v>62.5</v>
      </c>
      <c r="T172">
        <f>IFERROR(K172/100*VLOOKUP(J172,Food_DB!$A$2:$F$14,3,FALSE),0)</f>
        <v>300</v>
      </c>
      <c r="U172">
        <f>L172*Food_DB!$C$8</f>
        <v>270</v>
      </c>
      <c r="V172">
        <f t="shared" si="8"/>
        <v>0</v>
      </c>
      <c r="W172">
        <f t="shared" si="9"/>
        <v>1387.5</v>
      </c>
      <c r="X172">
        <f>D172*Food_DB!$D$2+E172/100*Food_DB!$D$3+F172/30*Food_DB!$D$4+G172*Food_DB!$D$5+H172/100*Food_DB!$D$6+I172/100*Food_DB!$D$7+IFERROR(K172/100*VLOOKUP(J172,Food_DB!$A$2:$F$14,4,FALSE),0)+L172*Food_DB!$D$8</f>
        <v>100.49999999999999</v>
      </c>
      <c r="Y172">
        <f>D172*Food_DB!$E$2+E172/100*Food_DB!$E$3+F172/30*Food_DB!$E$4+G172*Food_DB!$E$5+H172/100*Food_DB!$E$6+I172/100*Food_DB!$E$7+IFERROR(K172/100*VLOOKUP(J172,Food_DB!$A$2:$F$14,5,FALSE),0)+L172*Food_DB!$E$8</f>
        <v>32.35</v>
      </c>
      <c r="Z172">
        <f>D172*Food_DB!$F$2+E172/100*Food_DB!$F$3+F172/30*Food_DB!$F$4+G172*Food_DB!$F$5+H172/100*Food_DB!$F$6+I172/100*Food_DB!$F$7+IFERROR(K172/100*VLOOKUP(J172,Food_DB!$A$2:$F$14,6,FALSE),0)+L172*Food_DB!$F$8</f>
        <v>178.15</v>
      </c>
      <c r="AA172">
        <v>0</v>
      </c>
      <c r="AB172">
        <v>0</v>
      </c>
      <c r="AC172">
        <v>0</v>
      </c>
      <c r="AD172">
        <v>3.5</v>
      </c>
      <c r="AE172">
        <f>Dashboard!$B$6*AA172+Dashboard!$B$6*4*AB172/60+Dashboard!$B$6*8*AC172/120+Dashboard!$B$6*7*AD172</f>
        <v>1960</v>
      </c>
      <c r="AF172">
        <f>Dashboard!$B$5</f>
        <v>1700</v>
      </c>
      <c r="AG172">
        <f t="shared" si="10"/>
        <v>4000</v>
      </c>
      <c r="AH172">
        <f t="shared" si="11"/>
        <v>-2612.5</v>
      </c>
    </row>
    <row r="173" spans="1:34">
      <c r="A173">
        <v>46349</v>
      </c>
      <c r="B173" t="s">
        <v>88</v>
      </c>
      <c r="C173" t="s">
        <v>89</v>
      </c>
      <c r="D173">
        <v>2</v>
      </c>
      <c r="E173">
        <v>400</v>
      </c>
      <c r="F173">
        <v>30</v>
      </c>
      <c r="G173">
        <v>1</v>
      </c>
      <c r="H173">
        <v>150</v>
      </c>
      <c r="I173">
        <v>250</v>
      </c>
      <c r="J173" t="s">
        <v>90</v>
      </c>
      <c r="K173">
        <v>250</v>
      </c>
      <c r="L173">
        <v>3</v>
      </c>
      <c r="M173">
        <v>0</v>
      </c>
      <c r="N173">
        <f>D173*Food_DB!$C$2</f>
        <v>150</v>
      </c>
      <c r="O173">
        <f>E173/100*Food_DB!$C$3</f>
        <v>260</v>
      </c>
      <c r="P173">
        <f>F173/30*Food_DB!$C$4</f>
        <v>111</v>
      </c>
      <c r="Q173">
        <f>G173*Food_DB!$C$5</f>
        <v>222</v>
      </c>
      <c r="R173">
        <f>H173/100*Food_DB!$C$6</f>
        <v>12</v>
      </c>
      <c r="S173">
        <f>I173/100*Food_DB!$C$7</f>
        <v>62.5</v>
      </c>
      <c r="T173">
        <f>IFERROR(K173/100*VLOOKUP(J173,Food_DB!$A$2:$F$14,3,FALSE),0)</f>
        <v>575</v>
      </c>
      <c r="U173">
        <f>L173*Food_DB!$C$8</f>
        <v>270</v>
      </c>
      <c r="V173">
        <f t="shared" si="8"/>
        <v>0</v>
      </c>
      <c r="W173">
        <f t="shared" si="9"/>
        <v>1662.5</v>
      </c>
      <c r="X173">
        <f>D173*Food_DB!$D$2+E173/100*Food_DB!$D$3+F173/30*Food_DB!$D$4+G173*Food_DB!$D$5+H173/100*Food_DB!$D$6+I173/100*Food_DB!$D$7+IFERROR(K173/100*VLOOKUP(J173,Food_DB!$A$2:$F$14,4,FALSE),0)+L173*Food_DB!$D$8</f>
        <v>87.999999999999986</v>
      </c>
      <c r="Y173">
        <f>D173*Food_DB!$E$2+E173/100*Food_DB!$E$3+F173/30*Food_DB!$E$4+G173*Food_DB!$E$5+H173/100*Food_DB!$E$6+I173/100*Food_DB!$E$7+IFERROR(K173/100*VLOOKUP(J173,Food_DB!$A$2:$F$14,5,FALSE),0)+L173*Food_DB!$E$8</f>
        <v>68.599999999999994</v>
      </c>
      <c r="Z173">
        <f>D173*Food_DB!$F$2+E173/100*Food_DB!$F$3+F173/30*Food_DB!$F$4+G173*Food_DB!$F$5+H173/100*Food_DB!$F$6+I173/100*Food_DB!$F$7+IFERROR(K173/100*VLOOKUP(J173,Food_DB!$A$2:$F$14,6,FALSE),0)+L173*Food_DB!$F$8</f>
        <v>178.15</v>
      </c>
      <c r="AA173">
        <v>6.5</v>
      </c>
      <c r="AB173">
        <v>30</v>
      </c>
      <c r="AC173">
        <v>0</v>
      </c>
      <c r="AD173">
        <v>0</v>
      </c>
      <c r="AE173">
        <f>Dashboard!$B$6*AA173+Dashboard!$B$6*4*AB173/60+Dashboard!$B$6*8*AC173/120+Dashboard!$B$6*7*AD173</f>
        <v>680</v>
      </c>
      <c r="AF173">
        <f>Dashboard!$B$5</f>
        <v>1700</v>
      </c>
      <c r="AG173">
        <f t="shared" si="10"/>
        <v>2720</v>
      </c>
      <c r="AH173">
        <f t="shared" si="11"/>
        <v>-1057.5</v>
      </c>
    </row>
    <row r="174" spans="1:34">
      <c r="A174">
        <v>46350</v>
      </c>
      <c r="B174" t="s">
        <v>91</v>
      </c>
      <c r="C174" t="s">
        <v>89</v>
      </c>
      <c r="D174">
        <v>2</v>
      </c>
      <c r="E174">
        <v>400</v>
      </c>
      <c r="F174">
        <v>30</v>
      </c>
      <c r="G174">
        <v>1</v>
      </c>
      <c r="H174">
        <v>150</v>
      </c>
      <c r="I174">
        <v>250</v>
      </c>
      <c r="J174" t="s">
        <v>82</v>
      </c>
      <c r="K174">
        <v>250</v>
      </c>
      <c r="L174">
        <v>3</v>
      </c>
      <c r="M174">
        <v>0</v>
      </c>
      <c r="N174">
        <f>D174*Food_DB!$C$2</f>
        <v>150</v>
      </c>
      <c r="O174">
        <f>E174/100*Food_DB!$C$3</f>
        <v>260</v>
      </c>
      <c r="P174">
        <f>F174/30*Food_DB!$C$4</f>
        <v>111</v>
      </c>
      <c r="Q174">
        <f>G174*Food_DB!$C$5</f>
        <v>222</v>
      </c>
      <c r="R174">
        <f>H174/100*Food_DB!$C$6</f>
        <v>12</v>
      </c>
      <c r="S174">
        <f>I174/100*Food_DB!$C$7</f>
        <v>62.5</v>
      </c>
      <c r="T174">
        <f>IFERROR(K174/100*VLOOKUP(J174,Food_DB!$A$2:$F$14,3,FALSE),0)</f>
        <v>550</v>
      </c>
      <c r="U174">
        <f>L174*Food_DB!$C$8</f>
        <v>270</v>
      </c>
      <c r="V174">
        <f t="shared" si="8"/>
        <v>0</v>
      </c>
      <c r="W174">
        <f t="shared" si="9"/>
        <v>1637.5</v>
      </c>
      <c r="X174">
        <f>D174*Food_DB!$D$2+E174/100*Food_DB!$D$3+F174/30*Food_DB!$D$4+G174*Food_DB!$D$5+H174/100*Food_DB!$D$6+I174/100*Food_DB!$D$7+IFERROR(K174/100*VLOOKUP(J174,Food_DB!$A$2:$F$14,4,FALSE),0)+L174*Food_DB!$D$8</f>
        <v>92.999999999999986</v>
      </c>
      <c r="Y174">
        <f>D174*Food_DB!$E$2+E174/100*Food_DB!$E$3+F174/30*Food_DB!$E$4+G174*Food_DB!$E$5+H174/100*Food_DB!$E$6+I174/100*Food_DB!$E$7+IFERROR(K174/100*VLOOKUP(J174,Food_DB!$A$2:$F$14,5,FALSE),0)+L174*Food_DB!$E$8</f>
        <v>63.6</v>
      </c>
      <c r="Z174">
        <f>D174*Food_DB!$F$2+E174/100*Food_DB!$F$3+F174/30*Food_DB!$F$4+G174*Food_DB!$F$5+H174/100*Food_DB!$F$6+I174/100*Food_DB!$F$7+IFERROR(K174/100*VLOOKUP(J174,Food_DB!$A$2:$F$14,6,FALSE),0)+L174*Food_DB!$F$8</f>
        <v>178.15</v>
      </c>
      <c r="AA174">
        <v>6.5</v>
      </c>
      <c r="AB174">
        <v>30</v>
      </c>
      <c r="AC174">
        <v>0</v>
      </c>
      <c r="AD174">
        <v>0</v>
      </c>
      <c r="AE174">
        <f>Dashboard!$B$6*AA174+Dashboard!$B$6*4*AB174/60+Dashboard!$B$6*8*AC174/120+Dashboard!$B$6*7*AD174</f>
        <v>680</v>
      </c>
      <c r="AF174">
        <f>Dashboard!$B$5</f>
        <v>1700</v>
      </c>
      <c r="AG174">
        <f t="shared" si="10"/>
        <v>2720</v>
      </c>
      <c r="AH174">
        <f t="shared" si="11"/>
        <v>-1082.5</v>
      </c>
    </row>
    <row r="175" spans="1:34">
      <c r="A175">
        <v>46351</v>
      </c>
      <c r="B175" t="s">
        <v>92</v>
      </c>
      <c r="C175" t="s">
        <v>89</v>
      </c>
      <c r="D175">
        <v>2</v>
      </c>
      <c r="E175">
        <v>400</v>
      </c>
      <c r="F175">
        <v>30</v>
      </c>
      <c r="G175">
        <v>1</v>
      </c>
      <c r="H175">
        <v>150</v>
      </c>
      <c r="I175">
        <v>250</v>
      </c>
      <c r="J175" t="s">
        <v>85</v>
      </c>
      <c r="K175">
        <v>250</v>
      </c>
      <c r="L175">
        <v>3</v>
      </c>
      <c r="M175">
        <v>0</v>
      </c>
      <c r="N175">
        <f>D175*Food_DB!$C$2</f>
        <v>150</v>
      </c>
      <c r="O175">
        <f>E175/100*Food_DB!$C$3</f>
        <v>260</v>
      </c>
      <c r="P175">
        <f>F175/30*Food_DB!$C$4</f>
        <v>111</v>
      </c>
      <c r="Q175">
        <f>G175*Food_DB!$C$5</f>
        <v>222</v>
      </c>
      <c r="R175">
        <f>H175/100*Food_DB!$C$6</f>
        <v>12</v>
      </c>
      <c r="S175">
        <f>I175/100*Food_DB!$C$7</f>
        <v>62.5</v>
      </c>
      <c r="T175">
        <f>IFERROR(K175/100*VLOOKUP(J175,Food_DB!$A$2:$F$14,3,FALSE),0)</f>
        <v>450</v>
      </c>
      <c r="U175">
        <f>L175*Food_DB!$C$8</f>
        <v>270</v>
      </c>
      <c r="V175">
        <f t="shared" si="8"/>
        <v>0</v>
      </c>
      <c r="W175">
        <f t="shared" si="9"/>
        <v>1537.5</v>
      </c>
      <c r="X175">
        <f>D175*Food_DB!$D$2+E175/100*Food_DB!$D$3+F175/30*Food_DB!$D$4+G175*Food_DB!$D$5+H175/100*Food_DB!$D$6+I175/100*Food_DB!$D$7+IFERROR(K175/100*VLOOKUP(J175,Food_DB!$A$2:$F$14,4,FALSE),0)+L175*Food_DB!$D$8</f>
        <v>92.999999999999986</v>
      </c>
      <c r="Y175">
        <f>D175*Food_DB!$E$2+E175/100*Food_DB!$E$3+F175/30*Food_DB!$E$4+G175*Food_DB!$E$5+H175/100*Food_DB!$E$6+I175/100*Food_DB!$E$7+IFERROR(K175/100*VLOOKUP(J175,Food_DB!$A$2:$F$14,5,FALSE),0)+L175*Food_DB!$E$8</f>
        <v>51.1</v>
      </c>
      <c r="Z175">
        <f>D175*Food_DB!$F$2+E175/100*Food_DB!$F$3+F175/30*Food_DB!$F$4+G175*Food_DB!$F$5+H175/100*Food_DB!$F$6+I175/100*Food_DB!$F$7+IFERROR(K175/100*VLOOKUP(J175,Food_DB!$A$2:$F$14,6,FALSE),0)+L175*Food_DB!$F$8</f>
        <v>178.15</v>
      </c>
      <c r="AA175">
        <v>6.5</v>
      </c>
      <c r="AB175">
        <v>30</v>
      </c>
      <c r="AC175">
        <v>0</v>
      </c>
      <c r="AD175">
        <v>0</v>
      </c>
      <c r="AE175">
        <f>Dashboard!$B$6*AA175+Dashboard!$B$6*4*AB175/60+Dashboard!$B$6*8*AC175/120+Dashboard!$B$6*7*AD175</f>
        <v>680</v>
      </c>
      <c r="AF175">
        <f>Dashboard!$B$5</f>
        <v>1700</v>
      </c>
      <c r="AG175">
        <f t="shared" si="10"/>
        <v>2720</v>
      </c>
      <c r="AH175">
        <f t="shared" si="11"/>
        <v>-1182.5</v>
      </c>
    </row>
    <row r="176" spans="1:34">
      <c r="A176">
        <v>46352</v>
      </c>
      <c r="B176" t="s">
        <v>93</v>
      </c>
      <c r="C176" t="s">
        <v>89</v>
      </c>
      <c r="D176">
        <v>2</v>
      </c>
      <c r="E176">
        <v>400</v>
      </c>
      <c r="F176">
        <v>30</v>
      </c>
      <c r="G176">
        <v>1</v>
      </c>
      <c r="H176">
        <v>150</v>
      </c>
      <c r="I176">
        <v>250</v>
      </c>
      <c r="J176" t="s">
        <v>87</v>
      </c>
      <c r="K176">
        <v>250</v>
      </c>
      <c r="L176">
        <v>3</v>
      </c>
      <c r="M176">
        <v>0</v>
      </c>
      <c r="N176">
        <f>D176*Food_DB!$C$2</f>
        <v>150</v>
      </c>
      <c r="O176">
        <f>E176/100*Food_DB!$C$3</f>
        <v>260</v>
      </c>
      <c r="P176">
        <f>F176/30*Food_DB!$C$4</f>
        <v>111</v>
      </c>
      <c r="Q176">
        <f>G176*Food_DB!$C$5</f>
        <v>222</v>
      </c>
      <c r="R176">
        <f>H176/100*Food_DB!$C$6</f>
        <v>12</v>
      </c>
      <c r="S176">
        <f>I176/100*Food_DB!$C$7</f>
        <v>62.5</v>
      </c>
      <c r="T176">
        <f>IFERROR(K176/100*VLOOKUP(J176,Food_DB!$A$2:$F$14,3,FALSE),0)</f>
        <v>300</v>
      </c>
      <c r="U176">
        <f>L176*Food_DB!$C$8</f>
        <v>270</v>
      </c>
      <c r="V176">
        <f t="shared" si="8"/>
        <v>0</v>
      </c>
      <c r="W176">
        <f t="shared" si="9"/>
        <v>1387.5</v>
      </c>
      <c r="X176">
        <f>D176*Food_DB!$D$2+E176/100*Food_DB!$D$3+F176/30*Food_DB!$D$4+G176*Food_DB!$D$5+H176/100*Food_DB!$D$6+I176/100*Food_DB!$D$7+IFERROR(K176/100*VLOOKUP(J176,Food_DB!$A$2:$F$14,4,FALSE),0)+L176*Food_DB!$D$8</f>
        <v>100.49999999999999</v>
      </c>
      <c r="Y176">
        <f>D176*Food_DB!$E$2+E176/100*Food_DB!$E$3+F176/30*Food_DB!$E$4+G176*Food_DB!$E$5+H176/100*Food_DB!$E$6+I176/100*Food_DB!$E$7+IFERROR(K176/100*VLOOKUP(J176,Food_DB!$A$2:$F$14,5,FALSE),0)+L176*Food_DB!$E$8</f>
        <v>32.35</v>
      </c>
      <c r="Z176">
        <f>D176*Food_DB!$F$2+E176/100*Food_DB!$F$3+F176/30*Food_DB!$F$4+G176*Food_DB!$F$5+H176/100*Food_DB!$F$6+I176/100*Food_DB!$F$7+IFERROR(K176/100*VLOOKUP(J176,Food_DB!$A$2:$F$14,6,FALSE),0)+L176*Food_DB!$F$8</f>
        <v>178.15</v>
      </c>
      <c r="AA176">
        <v>6.5</v>
      </c>
      <c r="AB176">
        <v>30</v>
      </c>
      <c r="AC176">
        <v>0</v>
      </c>
      <c r="AD176">
        <v>0</v>
      </c>
      <c r="AE176">
        <f>Dashboard!$B$6*AA176+Dashboard!$B$6*4*AB176/60+Dashboard!$B$6*8*AC176/120+Dashboard!$B$6*7*AD176</f>
        <v>680</v>
      </c>
      <c r="AF176">
        <f>Dashboard!$B$5</f>
        <v>1700</v>
      </c>
      <c r="AG176">
        <f t="shared" si="10"/>
        <v>2720</v>
      </c>
      <c r="AH176">
        <f t="shared" si="11"/>
        <v>-1332.5</v>
      </c>
    </row>
    <row r="177" spans="1:34">
      <c r="A177">
        <v>46353</v>
      </c>
      <c r="B177" t="s">
        <v>80</v>
      </c>
      <c r="C177" t="s">
        <v>81</v>
      </c>
      <c r="D177">
        <v>2</v>
      </c>
      <c r="E177">
        <v>400</v>
      </c>
      <c r="F177">
        <v>30</v>
      </c>
      <c r="G177">
        <v>1</v>
      </c>
      <c r="H177">
        <v>150</v>
      </c>
      <c r="I177">
        <v>250</v>
      </c>
      <c r="J177" t="s">
        <v>90</v>
      </c>
      <c r="K177">
        <v>250</v>
      </c>
      <c r="L177">
        <v>3</v>
      </c>
      <c r="M177">
        <v>1000</v>
      </c>
      <c r="N177">
        <f>D177*Food_DB!$C$2</f>
        <v>150</v>
      </c>
      <c r="O177">
        <f>E177/100*Food_DB!$C$3</f>
        <v>260</v>
      </c>
      <c r="P177">
        <f>F177/30*Food_DB!$C$4</f>
        <v>111</v>
      </c>
      <c r="Q177">
        <f>G177*Food_DB!$C$5</f>
        <v>222</v>
      </c>
      <c r="R177">
        <f>H177/100*Food_DB!$C$6</f>
        <v>12</v>
      </c>
      <c r="S177">
        <f>I177/100*Food_DB!$C$7</f>
        <v>62.5</v>
      </c>
      <c r="T177">
        <f>IFERROR(K177/100*VLOOKUP(J177,Food_DB!$A$2:$F$14,3,FALSE),0)</f>
        <v>575</v>
      </c>
      <c r="U177">
        <f>L177*Food_DB!$C$8</f>
        <v>270</v>
      </c>
      <c r="V177">
        <f t="shared" si="8"/>
        <v>1000</v>
      </c>
      <c r="W177">
        <f t="shared" si="9"/>
        <v>2662.5</v>
      </c>
      <c r="X177">
        <f>D177*Food_DB!$D$2+E177/100*Food_DB!$D$3+F177/30*Food_DB!$D$4+G177*Food_DB!$D$5+H177/100*Food_DB!$D$6+I177/100*Food_DB!$D$7+IFERROR(K177/100*VLOOKUP(J177,Food_DB!$A$2:$F$14,4,FALSE),0)+L177*Food_DB!$D$8</f>
        <v>87.999999999999986</v>
      </c>
      <c r="Y177">
        <f>D177*Food_DB!$E$2+E177/100*Food_DB!$E$3+F177/30*Food_DB!$E$4+G177*Food_DB!$E$5+H177/100*Food_DB!$E$6+I177/100*Food_DB!$E$7+IFERROR(K177/100*VLOOKUP(J177,Food_DB!$A$2:$F$14,5,FALSE),0)+L177*Food_DB!$E$8</f>
        <v>68.599999999999994</v>
      </c>
      <c r="Z177">
        <f>D177*Food_DB!$F$2+E177/100*Food_DB!$F$3+F177/30*Food_DB!$F$4+G177*Food_DB!$F$5+H177/100*Food_DB!$F$6+I177/100*Food_DB!$F$7+IFERROR(K177/100*VLOOKUP(J177,Food_DB!$A$2:$F$14,6,FALSE),0)+L177*Food_DB!$F$8</f>
        <v>178.15</v>
      </c>
      <c r="AA177">
        <v>6.5</v>
      </c>
      <c r="AB177">
        <v>30</v>
      </c>
      <c r="AC177">
        <v>0</v>
      </c>
      <c r="AD177">
        <v>0</v>
      </c>
      <c r="AE177">
        <f>Dashboard!$B$6*AA177+Dashboard!$B$6*4*AB177/60+Dashboard!$B$6*8*AC177/120+Dashboard!$B$6*7*AD177</f>
        <v>680</v>
      </c>
      <c r="AF177">
        <f>Dashboard!$B$5</f>
        <v>1700</v>
      </c>
      <c r="AG177">
        <f t="shared" si="10"/>
        <v>2720</v>
      </c>
      <c r="AH177">
        <f t="shared" si="11"/>
        <v>-57.5</v>
      </c>
    </row>
    <row r="178" spans="1:34">
      <c r="A178">
        <v>46354</v>
      </c>
      <c r="B178" t="s">
        <v>83</v>
      </c>
      <c r="C178" t="s">
        <v>84</v>
      </c>
      <c r="D178">
        <v>2</v>
      </c>
      <c r="E178">
        <v>400</v>
      </c>
      <c r="F178">
        <v>30</v>
      </c>
      <c r="G178">
        <v>1</v>
      </c>
      <c r="H178">
        <v>150</v>
      </c>
      <c r="I178">
        <v>250</v>
      </c>
      <c r="J178" t="s">
        <v>82</v>
      </c>
      <c r="K178">
        <v>250</v>
      </c>
      <c r="L178">
        <v>3</v>
      </c>
      <c r="M178">
        <v>0</v>
      </c>
      <c r="N178">
        <f>D178*Food_DB!$C$2</f>
        <v>150</v>
      </c>
      <c r="O178">
        <f>E178/100*Food_DB!$C$3</f>
        <v>260</v>
      </c>
      <c r="P178">
        <f>F178/30*Food_DB!$C$4</f>
        <v>111</v>
      </c>
      <c r="Q178">
        <f>G178*Food_DB!$C$5</f>
        <v>222</v>
      </c>
      <c r="R178">
        <f>H178/100*Food_DB!$C$6</f>
        <v>12</v>
      </c>
      <c r="S178">
        <f>I178/100*Food_DB!$C$7</f>
        <v>62.5</v>
      </c>
      <c r="T178">
        <f>IFERROR(K178/100*VLOOKUP(J178,Food_DB!$A$2:$F$14,3,FALSE),0)</f>
        <v>550</v>
      </c>
      <c r="U178">
        <f>L178*Food_DB!$C$8</f>
        <v>270</v>
      </c>
      <c r="V178">
        <f t="shared" si="8"/>
        <v>0</v>
      </c>
      <c r="W178">
        <f t="shared" si="9"/>
        <v>1637.5</v>
      </c>
      <c r="X178">
        <f>D178*Food_DB!$D$2+E178/100*Food_DB!$D$3+F178/30*Food_DB!$D$4+G178*Food_DB!$D$5+H178/100*Food_DB!$D$6+I178/100*Food_DB!$D$7+IFERROR(K178/100*VLOOKUP(J178,Food_DB!$A$2:$F$14,4,FALSE),0)+L178*Food_DB!$D$8</f>
        <v>92.999999999999986</v>
      </c>
      <c r="Y178">
        <f>D178*Food_DB!$E$2+E178/100*Food_DB!$E$3+F178/30*Food_DB!$E$4+G178*Food_DB!$E$5+H178/100*Food_DB!$E$6+I178/100*Food_DB!$E$7+IFERROR(K178/100*VLOOKUP(J178,Food_DB!$A$2:$F$14,5,FALSE),0)+L178*Food_DB!$E$8</f>
        <v>63.6</v>
      </c>
      <c r="Z178">
        <f>D178*Food_DB!$F$2+E178/100*Food_DB!$F$3+F178/30*Food_DB!$F$4+G178*Food_DB!$F$5+H178/100*Food_DB!$F$6+I178/100*Food_DB!$F$7+IFERROR(K178/100*VLOOKUP(J178,Food_DB!$A$2:$F$14,6,FALSE),0)+L178*Food_DB!$F$8</f>
        <v>178.15</v>
      </c>
      <c r="AA178">
        <v>0</v>
      </c>
      <c r="AB178">
        <v>0</v>
      </c>
      <c r="AC178">
        <v>0</v>
      </c>
      <c r="AD178">
        <v>3.5</v>
      </c>
      <c r="AE178">
        <f>Dashboard!$B$6*AA178+Dashboard!$B$6*4*AB178/60+Dashboard!$B$6*8*AC178/120+Dashboard!$B$6*7*AD178</f>
        <v>1960</v>
      </c>
      <c r="AF178">
        <f>Dashboard!$B$5</f>
        <v>1700</v>
      </c>
      <c r="AG178">
        <f t="shared" si="10"/>
        <v>4000</v>
      </c>
      <c r="AH178">
        <f t="shared" si="11"/>
        <v>-2362.5</v>
      </c>
    </row>
    <row r="179" spans="1:34">
      <c r="A179">
        <v>46355</v>
      </c>
      <c r="B179" t="s">
        <v>86</v>
      </c>
      <c r="C179" t="s">
        <v>84</v>
      </c>
      <c r="D179">
        <v>2</v>
      </c>
      <c r="E179">
        <v>400</v>
      </c>
      <c r="F179">
        <v>30</v>
      </c>
      <c r="G179">
        <v>1</v>
      </c>
      <c r="H179">
        <v>150</v>
      </c>
      <c r="I179">
        <v>250</v>
      </c>
      <c r="J179" t="s">
        <v>85</v>
      </c>
      <c r="K179">
        <v>250</v>
      </c>
      <c r="L179">
        <v>3</v>
      </c>
      <c r="M179">
        <v>0</v>
      </c>
      <c r="N179">
        <f>D179*Food_DB!$C$2</f>
        <v>150</v>
      </c>
      <c r="O179">
        <f>E179/100*Food_DB!$C$3</f>
        <v>260</v>
      </c>
      <c r="P179">
        <f>F179/30*Food_DB!$C$4</f>
        <v>111</v>
      </c>
      <c r="Q179">
        <f>G179*Food_DB!$C$5</f>
        <v>222</v>
      </c>
      <c r="R179">
        <f>H179/100*Food_DB!$C$6</f>
        <v>12</v>
      </c>
      <c r="S179">
        <f>I179/100*Food_DB!$C$7</f>
        <v>62.5</v>
      </c>
      <c r="T179">
        <f>IFERROR(K179/100*VLOOKUP(J179,Food_DB!$A$2:$F$14,3,FALSE),0)</f>
        <v>450</v>
      </c>
      <c r="U179">
        <f>L179*Food_DB!$C$8</f>
        <v>270</v>
      </c>
      <c r="V179">
        <f t="shared" si="8"/>
        <v>0</v>
      </c>
      <c r="W179">
        <f t="shared" si="9"/>
        <v>1537.5</v>
      </c>
      <c r="X179">
        <f>D179*Food_DB!$D$2+E179/100*Food_DB!$D$3+F179/30*Food_DB!$D$4+G179*Food_DB!$D$5+H179/100*Food_DB!$D$6+I179/100*Food_DB!$D$7+IFERROR(K179/100*VLOOKUP(J179,Food_DB!$A$2:$F$14,4,FALSE),0)+L179*Food_DB!$D$8</f>
        <v>92.999999999999986</v>
      </c>
      <c r="Y179">
        <f>D179*Food_DB!$E$2+E179/100*Food_DB!$E$3+F179/30*Food_DB!$E$4+G179*Food_DB!$E$5+H179/100*Food_DB!$E$6+I179/100*Food_DB!$E$7+IFERROR(K179/100*VLOOKUP(J179,Food_DB!$A$2:$F$14,5,FALSE),0)+L179*Food_DB!$E$8</f>
        <v>51.1</v>
      </c>
      <c r="Z179">
        <f>D179*Food_DB!$F$2+E179/100*Food_DB!$F$3+F179/30*Food_DB!$F$4+G179*Food_DB!$F$5+H179/100*Food_DB!$F$6+I179/100*Food_DB!$F$7+IFERROR(K179/100*VLOOKUP(J179,Food_DB!$A$2:$F$14,6,FALSE),0)+L179*Food_DB!$F$8</f>
        <v>178.15</v>
      </c>
      <c r="AA179">
        <v>0</v>
      </c>
      <c r="AB179">
        <v>0</v>
      </c>
      <c r="AC179">
        <v>0</v>
      </c>
      <c r="AD179">
        <v>3.5</v>
      </c>
      <c r="AE179">
        <f>Dashboard!$B$6*AA179+Dashboard!$B$6*4*AB179/60+Dashboard!$B$6*8*AC179/120+Dashboard!$B$6*7*AD179</f>
        <v>1960</v>
      </c>
      <c r="AF179">
        <f>Dashboard!$B$5</f>
        <v>1700</v>
      </c>
      <c r="AG179">
        <f t="shared" si="10"/>
        <v>4000</v>
      </c>
      <c r="AH179">
        <f t="shared" si="11"/>
        <v>-2462.5</v>
      </c>
    </row>
    <row r="180" spans="1:34">
      <c r="A180">
        <v>46356</v>
      </c>
      <c r="B180" t="s">
        <v>88</v>
      </c>
      <c r="C180" t="s">
        <v>89</v>
      </c>
      <c r="D180">
        <v>2</v>
      </c>
      <c r="E180">
        <v>400</v>
      </c>
      <c r="F180">
        <v>30</v>
      </c>
      <c r="G180">
        <v>1</v>
      </c>
      <c r="H180">
        <v>150</v>
      </c>
      <c r="I180">
        <v>250</v>
      </c>
      <c r="J180" t="s">
        <v>87</v>
      </c>
      <c r="K180">
        <v>250</v>
      </c>
      <c r="L180">
        <v>3</v>
      </c>
      <c r="M180">
        <v>0</v>
      </c>
      <c r="N180">
        <f>D180*Food_DB!$C$2</f>
        <v>150</v>
      </c>
      <c r="O180">
        <f>E180/100*Food_DB!$C$3</f>
        <v>260</v>
      </c>
      <c r="P180">
        <f>F180/30*Food_DB!$C$4</f>
        <v>111</v>
      </c>
      <c r="Q180">
        <f>G180*Food_DB!$C$5</f>
        <v>222</v>
      </c>
      <c r="R180">
        <f>H180/100*Food_DB!$C$6</f>
        <v>12</v>
      </c>
      <c r="S180">
        <f>I180/100*Food_DB!$C$7</f>
        <v>62.5</v>
      </c>
      <c r="T180">
        <f>IFERROR(K180/100*VLOOKUP(J180,Food_DB!$A$2:$F$14,3,FALSE),0)</f>
        <v>300</v>
      </c>
      <c r="U180">
        <f>L180*Food_DB!$C$8</f>
        <v>270</v>
      </c>
      <c r="V180">
        <f t="shared" si="8"/>
        <v>0</v>
      </c>
      <c r="W180">
        <f t="shared" si="9"/>
        <v>1387.5</v>
      </c>
      <c r="X180">
        <f>D180*Food_DB!$D$2+E180/100*Food_DB!$D$3+F180/30*Food_DB!$D$4+G180*Food_DB!$D$5+H180/100*Food_DB!$D$6+I180/100*Food_DB!$D$7+IFERROR(K180/100*VLOOKUP(J180,Food_DB!$A$2:$F$14,4,FALSE),0)+L180*Food_DB!$D$8</f>
        <v>100.49999999999999</v>
      </c>
      <c r="Y180">
        <f>D180*Food_DB!$E$2+E180/100*Food_DB!$E$3+F180/30*Food_DB!$E$4+G180*Food_DB!$E$5+H180/100*Food_DB!$E$6+I180/100*Food_DB!$E$7+IFERROR(K180/100*VLOOKUP(J180,Food_DB!$A$2:$F$14,5,FALSE),0)+L180*Food_DB!$E$8</f>
        <v>32.35</v>
      </c>
      <c r="Z180">
        <f>D180*Food_DB!$F$2+E180/100*Food_DB!$F$3+F180/30*Food_DB!$F$4+G180*Food_DB!$F$5+H180/100*Food_DB!$F$6+I180/100*Food_DB!$F$7+IFERROR(K180/100*VLOOKUP(J180,Food_DB!$A$2:$F$14,6,FALSE),0)+L180*Food_DB!$F$8</f>
        <v>178.15</v>
      </c>
      <c r="AA180">
        <v>6.5</v>
      </c>
      <c r="AB180">
        <v>30</v>
      </c>
      <c r="AC180">
        <v>0</v>
      </c>
      <c r="AD180">
        <v>0</v>
      </c>
      <c r="AE180">
        <f>Dashboard!$B$6*AA180+Dashboard!$B$6*4*AB180/60+Dashboard!$B$6*8*AC180/120+Dashboard!$B$6*7*AD180</f>
        <v>680</v>
      </c>
      <c r="AF180">
        <f>Dashboard!$B$5</f>
        <v>1700</v>
      </c>
      <c r="AG180">
        <f t="shared" si="10"/>
        <v>2720</v>
      </c>
      <c r="AH180">
        <f t="shared" si="11"/>
        <v>-1332.5</v>
      </c>
    </row>
    <row r="181" spans="1:34">
      <c r="A181">
        <v>46357</v>
      </c>
      <c r="B181" t="s">
        <v>91</v>
      </c>
      <c r="C181" t="s">
        <v>89</v>
      </c>
      <c r="D181">
        <v>2</v>
      </c>
      <c r="E181">
        <v>400</v>
      </c>
      <c r="F181">
        <v>30</v>
      </c>
      <c r="G181">
        <v>1</v>
      </c>
      <c r="H181">
        <v>150</v>
      </c>
      <c r="I181">
        <v>250</v>
      </c>
      <c r="J181" t="s">
        <v>90</v>
      </c>
      <c r="K181">
        <v>250</v>
      </c>
      <c r="L181">
        <v>3</v>
      </c>
      <c r="M181">
        <v>0</v>
      </c>
      <c r="N181">
        <f>D181*Food_DB!$C$2</f>
        <v>150</v>
      </c>
      <c r="O181">
        <f>E181/100*Food_DB!$C$3</f>
        <v>260</v>
      </c>
      <c r="P181">
        <f>F181/30*Food_DB!$C$4</f>
        <v>111</v>
      </c>
      <c r="Q181">
        <f>G181*Food_DB!$C$5</f>
        <v>222</v>
      </c>
      <c r="R181">
        <f>H181/100*Food_DB!$C$6</f>
        <v>12</v>
      </c>
      <c r="S181">
        <f>I181/100*Food_DB!$C$7</f>
        <v>62.5</v>
      </c>
      <c r="T181">
        <f>IFERROR(K181/100*VLOOKUP(J181,Food_DB!$A$2:$F$14,3,FALSE),0)</f>
        <v>575</v>
      </c>
      <c r="U181">
        <f>L181*Food_DB!$C$8</f>
        <v>270</v>
      </c>
      <c r="V181">
        <f t="shared" si="8"/>
        <v>0</v>
      </c>
      <c r="W181">
        <f t="shared" si="9"/>
        <v>1662.5</v>
      </c>
      <c r="X181">
        <f>D181*Food_DB!$D$2+E181/100*Food_DB!$D$3+F181/30*Food_DB!$D$4+G181*Food_DB!$D$5+H181/100*Food_DB!$D$6+I181/100*Food_DB!$D$7+IFERROR(K181/100*VLOOKUP(J181,Food_DB!$A$2:$F$14,4,FALSE),0)+L181*Food_DB!$D$8</f>
        <v>87.999999999999986</v>
      </c>
      <c r="Y181">
        <f>D181*Food_DB!$E$2+E181/100*Food_DB!$E$3+F181/30*Food_DB!$E$4+G181*Food_DB!$E$5+H181/100*Food_DB!$E$6+I181/100*Food_DB!$E$7+IFERROR(K181/100*VLOOKUP(J181,Food_DB!$A$2:$F$14,5,FALSE),0)+L181*Food_DB!$E$8</f>
        <v>68.599999999999994</v>
      </c>
      <c r="Z181">
        <f>D181*Food_DB!$F$2+E181/100*Food_DB!$F$3+F181/30*Food_DB!$F$4+G181*Food_DB!$F$5+H181/100*Food_DB!$F$6+I181/100*Food_DB!$F$7+IFERROR(K181/100*VLOOKUP(J181,Food_DB!$A$2:$F$14,6,FALSE),0)+L181*Food_DB!$F$8</f>
        <v>178.15</v>
      </c>
      <c r="AA181">
        <v>6.5</v>
      </c>
      <c r="AB181">
        <v>30</v>
      </c>
      <c r="AC181">
        <v>0</v>
      </c>
      <c r="AD181">
        <v>0</v>
      </c>
      <c r="AE181">
        <f>Dashboard!$B$6*AA181+Dashboard!$B$6*4*AB181/60+Dashboard!$B$6*8*AC181/120+Dashboard!$B$6*7*AD181</f>
        <v>680</v>
      </c>
      <c r="AF181">
        <f>Dashboard!$B$5</f>
        <v>1700</v>
      </c>
      <c r="AG181">
        <f t="shared" si="10"/>
        <v>2720</v>
      </c>
      <c r="AH181">
        <f t="shared" si="11"/>
        <v>-1057.5</v>
      </c>
    </row>
    <row r="182" spans="1:34">
      <c r="A182">
        <v>46358</v>
      </c>
      <c r="B182" t="s">
        <v>92</v>
      </c>
      <c r="C182" t="s">
        <v>89</v>
      </c>
      <c r="D182">
        <v>2</v>
      </c>
      <c r="E182">
        <v>400</v>
      </c>
      <c r="F182">
        <v>30</v>
      </c>
      <c r="G182">
        <v>1</v>
      </c>
      <c r="H182">
        <v>150</v>
      </c>
      <c r="I182">
        <v>250</v>
      </c>
      <c r="J182" t="s">
        <v>82</v>
      </c>
      <c r="K182">
        <v>250</v>
      </c>
      <c r="L182">
        <v>3</v>
      </c>
      <c r="M182">
        <v>0</v>
      </c>
      <c r="N182">
        <f>D182*Food_DB!$C$2</f>
        <v>150</v>
      </c>
      <c r="O182">
        <f>E182/100*Food_DB!$C$3</f>
        <v>260</v>
      </c>
      <c r="P182">
        <f>F182/30*Food_DB!$C$4</f>
        <v>111</v>
      </c>
      <c r="Q182">
        <f>G182*Food_DB!$C$5</f>
        <v>222</v>
      </c>
      <c r="R182">
        <f>H182/100*Food_DB!$C$6</f>
        <v>12</v>
      </c>
      <c r="S182">
        <f>I182/100*Food_DB!$C$7</f>
        <v>62.5</v>
      </c>
      <c r="T182">
        <f>IFERROR(K182/100*VLOOKUP(J182,Food_DB!$A$2:$F$14,3,FALSE),0)</f>
        <v>550</v>
      </c>
      <c r="U182">
        <f>L182*Food_DB!$C$8</f>
        <v>270</v>
      </c>
      <c r="V182">
        <f t="shared" si="8"/>
        <v>0</v>
      </c>
      <c r="W182">
        <f t="shared" si="9"/>
        <v>1637.5</v>
      </c>
      <c r="X182">
        <f>D182*Food_DB!$D$2+E182/100*Food_DB!$D$3+F182/30*Food_DB!$D$4+G182*Food_DB!$D$5+H182/100*Food_DB!$D$6+I182/100*Food_DB!$D$7+IFERROR(K182/100*VLOOKUP(J182,Food_DB!$A$2:$F$14,4,FALSE),0)+L182*Food_DB!$D$8</f>
        <v>92.999999999999986</v>
      </c>
      <c r="Y182">
        <f>D182*Food_DB!$E$2+E182/100*Food_DB!$E$3+F182/30*Food_DB!$E$4+G182*Food_DB!$E$5+H182/100*Food_DB!$E$6+I182/100*Food_DB!$E$7+IFERROR(K182/100*VLOOKUP(J182,Food_DB!$A$2:$F$14,5,FALSE),0)+L182*Food_DB!$E$8</f>
        <v>63.6</v>
      </c>
      <c r="Z182">
        <f>D182*Food_DB!$F$2+E182/100*Food_DB!$F$3+F182/30*Food_DB!$F$4+G182*Food_DB!$F$5+H182/100*Food_DB!$F$6+I182/100*Food_DB!$F$7+IFERROR(K182/100*VLOOKUP(J182,Food_DB!$A$2:$F$14,6,FALSE),0)+L182*Food_DB!$F$8</f>
        <v>178.15</v>
      </c>
      <c r="AA182">
        <v>6.5</v>
      </c>
      <c r="AB182">
        <v>30</v>
      </c>
      <c r="AC182">
        <v>0</v>
      </c>
      <c r="AD182">
        <v>0</v>
      </c>
      <c r="AE182">
        <f>Dashboard!$B$6*AA182+Dashboard!$B$6*4*AB182/60+Dashboard!$B$6*8*AC182/120+Dashboard!$B$6*7*AD182</f>
        <v>680</v>
      </c>
      <c r="AF182">
        <f>Dashboard!$B$5</f>
        <v>1700</v>
      </c>
      <c r="AG182">
        <f t="shared" si="10"/>
        <v>2720</v>
      </c>
      <c r="AH182">
        <f t="shared" si="11"/>
        <v>-1082.5</v>
      </c>
    </row>
    <row r="183" spans="1:34">
      <c r="A183">
        <v>46359</v>
      </c>
      <c r="B183" t="s">
        <v>93</v>
      </c>
      <c r="C183" t="s">
        <v>89</v>
      </c>
      <c r="D183">
        <v>2</v>
      </c>
      <c r="E183">
        <v>400</v>
      </c>
      <c r="F183">
        <v>30</v>
      </c>
      <c r="G183">
        <v>1</v>
      </c>
      <c r="H183">
        <v>150</v>
      </c>
      <c r="I183">
        <v>250</v>
      </c>
      <c r="J183" t="s">
        <v>85</v>
      </c>
      <c r="K183">
        <v>250</v>
      </c>
      <c r="L183">
        <v>3</v>
      </c>
      <c r="M183">
        <v>0</v>
      </c>
      <c r="N183">
        <f>D183*Food_DB!$C$2</f>
        <v>150</v>
      </c>
      <c r="O183">
        <f>E183/100*Food_DB!$C$3</f>
        <v>260</v>
      </c>
      <c r="P183">
        <f>F183/30*Food_DB!$C$4</f>
        <v>111</v>
      </c>
      <c r="Q183">
        <f>G183*Food_DB!$C$5</f>
        <v>222</v>
      </c>
      <c r="R183">
        <f>H183/100*Food_DB!$C$6</f>
        <v>12</v>
      </c>
      <c r="S183">
        <f>I183/100*Food_DB!$C$7</f>
        <v>62.5</v>
      </c>
      <c r="T183">
        <f>IFERROR(K183/100*VLOOKUP(J183,Food_DB!$A$2:$F$14,3,FALSE),0)</f>
        <v>450</v>
      </c>
      <c r="U183">
        <f>L183*Food_DB!$C$8</f>
        <v>270</v>
      </c>
      <c r="V183">
        <f t="shared" si="8"/>
        <v>0</v>
      </c>
      <c r="W183">
        <f t="shared" si="9"/>
        <v>1537.5</v>
      </c>
      <c r="X183">
        <f>D183*Food_DB!$D$2+E183/100*Food_DB!$D$3+F183/30*Food_DB!$D$4+G183*Food_DB!$D$5+H183/100*Food_DB!$D$6+I183/100*Food_DB!$D$7+IFERROR(K183/100*VLOOKUP(J183,Food_DB!$A$2:$F$14,4,FALSE),0)+L183*Food_DB!$D$8</f>
        <v>92.999999999999986</v>
      </c>
      <c r="Y183">
        <f>D183*Food_DB!$E$2+E183/100*Food_DB!$E$3+F183/30*Food_DB!$E$4+G183*Food_DB!$E$5+H183/100*Food_DB!$E$6+I183/100*Food_DB!$E$7+IFERROR(K183/100*VLOOKUP(J183,Food_DB!$A$2:$F$14,5,FALSE),0)+L183*Food_DB!$E$8</f>
        <v>51.1</v>
      </c>
      <c r="Z183">
        <f>D183*Food_DB!$F$2+E183/100*Food_DB!$F$3+F183/30*Food_DB!$F$4+G183*Food_DB!$F$5+H183/100*Food_DB!$F$6+I183/100*Food_DB!$F$7+IFERROR(K183/100*VLOOKUP(J183,Food_DB!$A$2:$F$14,6,FALSE),0)+L183*Food_DB!$F$8</f>
        <v>178.15</v>
      </c>
      <c r="AA183">
        <v>6.5</v>
      </c>
      <c r="AB183">
        <v>30</v>
      </c>
      <c r="AC183">
        <v>0</v>
      </c>
      <c r="AD183">
        <v>0</v>
      </c>
      <c r="AE183">
        <f>Dashboard!$B$6*AA183+Dashboard!$B$6*4*AB183/60+Dashboard!$B$6*8*AC183/120+Dashboard!$B$6*7*AD183</f>
        <v>680</v>
      </c>
      <c r="AF183">
        <f>Dashboard!$B$5</f>
        <v>1700</v>
      </c>
      <c r="AG183">
        <f t="shared" si="10"/>
        <v>2720</v>
      </c>
      <c r="AH183">
        <f t="shared" si="11"/>
        <v>-1182.5</v>
      </c>
    </row>
    <row r="184" spans="1:34">
      <c r="A184">
        <v>46360</v>
      </c>
      <c r="B184" t="s">
        <v>80</v>
      </c>
      <c r="C184" t="s">
        <v>81</v>
      </c>
      <c r="D184">
        <v>2</v>
      </c>
      <c r="E184">
        <v>400</v>
      </c>
      <c r="F184">
        <v>30</v>
      </c>
      <c r="G184">
        <v>1</v>
      </c>
      <c r="H184">
        <v>150</v>
      </c>
      <c r="I184">
        <v>250</v>
      </c>
      <c r="J184" t="s">
        <v>87</v>
      </c>
      <c r="K184">
        <v>250</v>
      </c>
      <c r="L184">
        <v>3</v>
      </c>
      <c r="M184">
        <v>1000</v>
      </c>
      <c r="N184">
        <f>D184*Food_DB!$C$2</f>
        <v>150</v>
      </c>
      <c r="O184">
        <f>E184/100*Food_DB!$C$3</f>
        <v>260</v>
      </c>
      <c r="P184">
        <f>F184/30*Food_DB!$C$4</f>
        <v>111</v>
      </c>
      <c r="Q184">
        <f>G184*Food_DB!$C$5</f>
        <v>222</v>
      </c>
      <c r="R184">
        <f>H184/100*Food_DB!$C$6</f>
        <v>12</v>
      </c>
      <c r="S184">
        <f>I184/100*Food_DB!$C$7</f>
        <v>62.5</v>
      </c>
      <c r="T184">
        <f>IFERROR(K184/100*VLOOKUP(J184,Food_DB!$A$2:$F$14,3,FALSE),0)</f>
        <v>300</v>
      </c>
      <c r="U184">
        <f>L184*Food_DB!$C$8</f>
        <v>270</v>
      </c>
      <c r="V184">
        <f t="shared" si="8"/>
        <v>1000</v>
      </c>
      <c r="W184">
        <f t="shared" si="9"/>
        <v>2387.5</v>
      </c>
      <c r="X184">
        <f>D184*Food_DB!$D$2+E184/100*Food_DB!$D$3+F184/30*Food_DB!$D$4+G184*Food_DB!$D$5+H184/100*Food_DB!$D$6+I184/100*Food_DB!$D$7+IFERROR(K184/100*VLOOKUP(J184,Food_DB!$A$2:$F$14,4,FALSE),0)+L184*Food_DB!$D$8</f>
        <v>100.49999999999999</v>
      </c>
      <c r="Y184">
        <f>D184*Food_DB!$E$2+E184/100*Food_DB!$E$3+F184/30*Food_DB!$E$4+G184*Food_DB!$E$5+H184/100*Food_DB!$E$6+I184/100*Food_DB!$E$7+IFERROR(K184/100*VLOOKUP(J184,Food_DB!$A$2:$F$14,5,FALSE),0)+L184*Food_DB!$E$8</f>
        <v>32.35</v>
      </c>
      <c r="Z184">
        <f>D184*Food_DB!$F$2+E184/100*Food_DB!$F$3+F184/30*Food_DB!$F$4+G184*Food_DB!$F$5+H184/100*Food_DB!$F$6+I184/100*Food_DB!$F$7+IFERROR(K184/100*VLOOKUP(J184,Food_DB!$A$2:$F$14,6,FALSE),0)+L184*Food_DB!$F$8</f>
        <v>178.15</v>
      </c>
      <c r="AA184">
        <v>6.5</v>
      </c>
      <c r="AB184">
        <v>30</v>
      </c>
      <c r="AC184">
        <v>0</v>
      </c>
      <c r="AD184">
        <v>0</v>
      </c>
      <c r="AE184">
        <f>Dashboard!$B$6*AA184+Dashboard!$B$6*4*AB184/60+Dashboard!$B$6*8*AC184/120+Dashboard!$B$6*7*AD184</f>
        <v>680</v>
      </c>
      <c r="AF184">
        <f>Dashboard!$B$5</f>
        <v>1700</v>
      </c>
      <c r="AG184">
        <f t="shared" si="10"/>
        <v>2720</v>
      </c>
      <c r="AH184">
        <f t="shared" si="11"/>
        <v>-332.5</v>
      </c>
    </row>
    <row r="185" spans="1:34">
      <c r="A185">
        <v>46361</v>
      </c>
      <c r="B185" t="s">
        <v>83</v>
      </c>
      <c r="C185" t="s">
        <v>84</v>
      </c>
      <c r="D185">
        <v>2</v>
      </c>
      <c r="E185">
        <v>400</v>
      </c>
      <c r="F185">
        <v>30</v>
      </c>
      <c r="G185">
        <v>1</v>
      </c>
      <c r="H185">
        <v>150</v>
      </c>
      <c r="I185">
        <v>250</v>
      </c>
      <c r="J185" t="s">
        <v>90</v>
      </c>
      <c r="K185">
        <v>250</v>
      </c>
      <c r="L185">
        <v>3</v>
      </c>
      <c r="M185">
        <v>0</v>
      </c>
      <c r="N185">
        <f>D185*Food_DB!$C$2</f>
        <v>150</v>
      </c>
      <c r="O185">
        <f>E185/100*Food_DB!$C$3</f>
        <v>260</v>
      </c>
      <c r="P185">
        <f>F185/30*Food_DB!$C$4</f>
        <v>111</v>
      </c>
      <c r="Q185">
        <f>G185*Food_DB!$C$5</f>
        <v>222</v>
      </c>
      <c r="R185">
        <f>H185/100*Food_DB!$C$6</f>
        <v>12</v>
      </c>
      <c r="S185">
        <f>I185/100*Food_DB!$C$7</f>
        <v>62.5</v>
      </c>
      <c r="T185">
        <f>IFERROR(K185/100*VLOOKUP(J185,Food_DB!$A$2:$F$14,3,FALSE),0)</f>
        <v>575</v>
      </c>
      <c r="U185">
        <f>L185*Food_DB!$C$8</f>
        <v>270</v>
      </c>
      <c r="V185">
        <f t="shared" si="8"/>
        <v>0</v>
      </c>
      <c r="W185">
        <f t="shared" si="9"/>
        <v>1662.5</v>
      </c>
      <c r="X185">
        <f>D185*Food_DB!$D$2+E185/100*Food_DB!$D$3+F185/30*Food_DB!$D$4+G185*Food_DB!$D$5+H185/100*Food_DB!$D$6+I185/100*Food_DB!$D$7+IFERROR(K185/100*VLOOKUP(J185,Food_DB!$A$2:$F$14,4,FALSE),0)+L185*Food_DB!$D$8</f>
        <v>87.999999999999986</v>
      </c>
      <c r="Y185">
        <f>D185*Food_DB!$E$2+E185/100*Food_DB!$E$3+F185/30*Food_DB!$E$4+G185*Food_DB!$E$5+H185/100*Food_DB!$E$6+I185/100*Food_DB!$E$7+IFERROR(K185/100*VLOOKUP(J185,Food_DB!$A$2:$F$14,5,FALSE),0)+L185*Food_DB!$E$8</f>
        <v>68.599999999999994</v>
      </c>
      <c r="Z185">
        <f>D185*Food_DB!$F$2+E185/100*Food_DB!$F$3+F185/30*Food_DB!$F$4+G185*Food_DB!$F$5+H185/100*Food_DB!$F$6+I185/100*Food_DB!$F$7+IFERROR(K185/100*VLOOKUP(J185,Food_DB!$A$2:$F$14,6,FALSE),0)+L185*Food_DB!$F$8</f>
        <v>178.15</v>
      </c>
      <c r="AA185">
        <v>0</v>
      </c>
      <c r="AB185">
        <v>0</v>
      </c>
      <c r="AC185">
        <v>0</v>
      </c>
      <c r="AD185">
        <v>3.5</v>
      </c>
      <c r="AE185">
        <f>Dashboard!$B$6*AA185+Dashboard!$B$6*4*AB185/60+Dashboard!$B$6*8*AC185/120+Dashboard!$B$6*7*AD185</f>
        <v>1960</v>
      </c>
      <c r="AF185">
        <f>Dashboard!$B$5</f>
        <v>1700</v>
      </c>
      <c r="AG185">
        <f t="shared" si="10"/>
        <v>4000</v>
      </c>
      <c r="AH185">
        <f t="shared" si="11"/>
        <v>-2337.5</v>
      </c>
    </row>
    <row r="186" spans="1:34">
      <c r="A186">
        <v>46362</v>
      </c>
      <c r="B186" t="s">
        <v>86</v>
      </c>
      <c r="C186" t="s">
        <v>84</v>
      </c>
      <c r="D186">
        <v>2</v>
      </c>
      <c r="E186">
        <v>400</v>
      </c>
      <c r="F186">
        <v>30</v>
      </c>
      <c r="G186">
        <v>1</v>
      </c>
      <c r="H186">
        <v>150</v>
      </c>
      <c r="I186">
        <v>250</v>
      </c>
      <c r="J186" t="s">
        <v>82</v>
      </c>
      <c r="K186">
        <v>250</v>
      </c>
      <c r="L186">
        <v>3</v>
      </c>
      <c r="M186">
        <v>0</v>
      </c>
      <c r="N186">
        <f>D186*Food_DB!$C$2</f>
        <v>150</v>
      </c>
      <c r="O186">
        <f>E186/100*Food_DB!$C$3</f>
        <v>260</v>
      </c>
      <c r="P186">
        <f>F186/30*Food_DB!$C$4</f>
        <v>111</v>
      </c>
      <c r="Q186">
        <f>G186*Food_DB!$C$5</f>
        <v>222</v>
      </c>
      <c r="R186">
        <f>H186/100*Food_DB!$C$6</f>
        <v>12</v>
      </c>
      <c r="S186">
        <f>I186/100*Food_DB!$C$7</f>
        <v>62.5</v>
      </c>
      <c r="T186">
        <f>IFERROR(K186/100*VLOOKUP(J186,Food_DB!$A$2:$F$14,3,FALSE),0)</f>
        <v>550</v>
      </c>
      <c r="U186">
        <f>L186*Food_DB!$C$8</f>
        <v>270</v>
      </c>
      <c r="V186">
        <f t="shared" si="8"/>
        <v>0</v>
      </c>
      <c r="W186">
        <f t="shared" si="9"/>
        <v>1637.5</v>
      </c>
      <c r="X186">
        <f>D186*Food_DB!$D$2+E186/100*Food_DB!$D$3+F186/30*Food_DB!$D$4+G186*Food_DB!$D$5+H186/100*Food_DB!$D$6+I186/100*Food_DB!$D$7+IFERROR(K186/100*VLOOKUP(J186,Food_DB!$A$2:$F$14,4,FALSE),0)+L186*Food_DB!$D$8</f>
        <v>92.999999999999986</v>
      </c>
      <c r="Y186">
        <f>D186*Food_DB!$E$2+E186/100*Food_DB!$E$3+F186/30*Food_DB!$E$4+G186*Food_DB!$E$5+H186/100*Food_DB!$E$6+I186/100*Food_DB!$E$7+IFERROR(K186/100*VLOOKUP(J186,Food_DB!$A$2:$F$14,5,FALSE),0)+L186*Food_DB!$E$8</f>
        <v>63.6</v>
      </c>
      <c r="Z186">
        <f>D186*Food_DB!$F$2+E186/100*Food_DB!$F$3+F186/30*Food_DB!$F$4+G186*Food_DB!$F$5+H186/100*Food_DB!$F$6+I186/100*Food_DB!$F$7+IFERROR(K186/100*VLOOKUP(J186,Food_DB!$A$2:$F$14,6,FALSE),0)+L186*Food_DB!$F$8</f>
        <v>178.15</v>
      </c>
      <c r="AA186">
        <v>0</v>
      </c>
      <c r="AB186">
        <v>0</v>
      </c>
      <c r="AC186">
        <v>0</v>
      </c>
      <c r="AD186">
        <v>3.5</v>
      </c>
      <c r="AE186">
        <f>Dashboard!$B$6*AA186+Dashboard!$B$6*4*AB186/60+Dashboard!$B$6*8*AC186/120+Dashboard!$B$6*7*AD186</f>
        <v>1960</v>
      </c>
      <c r="AF186">
        <f>Dashboard!$B$5</f>
        <v>1700</v>
      </c>
      <c r="AG186">
        <f t="shared" si="10"/>
        <v>4000</v>
      </c>
      <c r="AH186">
        <f t="shared" si="11"/>
        <v>-2362.5</v>
      </c>
    </row>
    <row r="187" spans="1:34">
      <c r="A187">
        <v>46363</v>
      </c>
      <c r="B187" t="s">
        <v>88</v>
      </c>
      <c r="C187" t="s">
        <v>89</v>
      </c>
      <c r="D187">
        <v>2</v>
      </c>
      <c r="E187">
        <v>400</v>
      </c>
      <c r="F187">
        <v>30</v>
      </c>
      <c r="G187">
        <v>1</v>
      </c>
      <c r="H187">
        <v>150</v>
      </c>
      <c r="I187">
        <v>250</v>
      </c>
      <c r="J187" t="s">
        <v>85</v>
      </c>
      <c r="K187">
        <v>250</v>
      </c>
      <c r="L187">
        <v>3</v>
      </c>
      <c r="M187">
        <v>0</v>
      </c>
      <c r="N187">
        <f>D187*Food_DB!$C$2</f>
        <v>150</v>
      </c>
      <c r="O187">
        <f>E187/100*Food_DB!$C$3</f>
        <v>260</v>
      </c>
      <c r="P187">
        <f>F187/30*Food_DB!$C$4</f>
        <v>111</v>
      </c>
      <c r="Q187">
        <f>G187*Food_DB!$C$5</f>
        <v>222</v>
      </c>
      <c r="R187">
        <f>H187/100*Food_DB!$C$6</f>
        <v>12</v>
      </c>
      <c r="S187">
        <f>I187/100*Food_DB!$C$7</f>
        <v>62.5</v>
      </c>
      <c r="T187">
        <f>IFERROR(K187/100*VLOOKUP(J187,Food_DB!$A$2:$F$14,3,FALSE),0)</f>
        <v>450</v>
      </c>
      <c r="U187">
        <f>L187*Food_DB!$C$8</f>
        <v>270</v>
      </c>
      <c r="V187">
        <f t="shared" si="8"/>
        <v>0</v>
      </c>
      <c r="W187">
        <f t="shared" si="9"/>
        <v>1537.5</v>
      </c>
      <c r="X187">
        <f>D187*Food_DB!$D$2+E187/100*Food_DB!$D$3+F187/30*Food_DB!$D$4+G187*Food_DB!$D$5+H187/100*Food_DB!$D$6+I187/100*Food_DB!$D$7+IFERROR(K187/100*VLOOKUP(J187,Food_DB!$A$2:$F$14,4,FALSE),0)+L187*Food_DB!$D$8</f>
        <v>92.999999999999986</v>
      </c>
      <c r="Y187">
        <f>D187*Food_DB!$E$2+E187/100*Food_DB!$E$3+F187/30*Food_DB!$E$4+G187*Food_DB!$E$5+H187/100*Food_DB!$E$6+I187/100*Food_DB!$E$7+IFERROR(K187/100*VLOOKUP(J187,Food_DB!$A$2:$F$14,5,FALSE),0)+L187*Food_DB!$E$8</f>
        <v>51.1</v>
      </c>
      <c r="Z187">
        <f>D187*Food_DB!$F$2+E187/100*Food_DB!$F$3+F187/30*Food_DB!$F$4+G187*Food_DB!$F$5+H187/100*Food_DB!$F$6+I187/100*Food_DB!$F$7+IFERROR(K187/100*VLOOKUP(J187,Food_DB!$A$2:$F$14,6,FALSE),0)+L187*Food_DB!$F$8</f>
        <v>178.15</v>
      </c>
      <c r="AA187">
        <v>6.5</v>
      </c>
      <c r="AB187">
        <v>30</v>
      </c>
      <c r="AC187">
        <v>0</v>
      </c>
      <c r="AD187">
        <v>0</v>
      </c>
      <c r="AE187">
        <f>Dashboard!$B$6*AA187+Dashboard!$B$6*4*AB187/60+Dashboard!$B$6*8*AC187/120+Dashboard!$B$6*7*AD187</f>
        <v>680</v>
      </c>
      <c r="AF187">
        <f>Dashboard!$B$5</f>
        <v>1700</v>
      </c>
      <c r="AG187">
        <f t="shared" si="10"/>
        <v>2720</v>
      </c>
      <c r="AH187">
        <f t="shared" si="11"/>
        <v>-1182.5</v>
      </c>
    </row>
    <row r="188" spans="1:34">
      <c r="A188">
        <v>46364</v>
      </c>
      <c r="B188" t="s">
        <v>91</v>
      </c>
      <c r="C188" t="s">
        <v>89</v>
      </c>
      <c r="D188">
        <v>2</v>
      </c>
      <c r="E188">
        <v>400</v>
      </c>
      <c r="F188">
        <v>30</v>
      </c>
      <c r="G188">
        <v>1</v>
      </c>
      <c r="H188">
        <v>150</v>
      </c>
      <c r="I188">
        <v>250</v>
      </c>
      <c r="J188" t="s">
        <v>87</v>
      </c>
      <c r="K188">
        <v>250</v>
      </c>
      <c r="L188">
        <v>3</v>
      </c>
      <c r="M188">
        <v>0</v>
      </c>
      <c r="N188">
        <f>D188*Food_DB!$C$2</f>
        <v>150</v>
      </c>
      <c r="O188">
        <f>E188/100*Food_DB!$C$3</f>
        <v>260</v>
      </c>
      <c r="P188">
        <f>F188/30*Food_DB!$C$4</f>
        <v>111</v>
      </c>
      <c r="Q188">
        <f>G188*Food_DB!$C$5</f>
        <v>222</v>
      </c>
      <c r="R188">
        <f>H188/100*Food_DB!$C$6</f>
        <v>12</v>
      </c>
      <c r="S188">
        <f>I188/100*Food_DB!$C$7</f>
        <v>62.5</v>
      </c>
      <c r="T188">
        <f>IFERROR(K188/100*VLOOKUP(J188,Food_DB!$A$2:$F$14,3,FALSE),0)</f>
        <v>300</v>
      </c>
      <c r="U188">
        <f>L188*Food_DB!$C$8</f>
        <v>270</v>
      </c>
      <c r="V188">
        <f t="shared" si="8"/>
        <v>0</v>
      </c>
      <c r="W188">
        <f t="shared" si="9"/>
        <v>1387.5</v>
      </c>
      <c r="X188">
        <f>D188*Food_DB!$D$2+E188/100*Food_DB!$D$3+F188/30*Food_DB!$D$4+G188*Food_DB!$D$5+H188/100*Food_DB!$D$6+I188/100*Food_DB!$D$7+IFERROR(K188/100*VLOOKUP(J188,Food_DB!$A$2:$F$14,4,FALSE),0)+L188*Food_DB!$D$8</f>
        <v>100.49999999999999</v>
      </c>
      <c r="Y188">
        <f>D188*Food_DB!$E$2+E188/100*Food_DB!$E$3+F188/30*Food_DB!$E$4+G188*Food_DB!$E$5+H188/100*Food_DB!$E$6+I188/100*Food_DB!$E$7+IFERROR(K188/100*VLOOKUP(J188,Food_DB!$A$2:$F$14,5,FALSE),0)+L188*Food_DB!$E$8</f>
        <v>32.35</v>
      </c>
      <c r="Z188">
        <f>D188*Food_DB!$F$2+E188/100*Food_DB!$F$3+F188/30*Food_DB!$F$4+G188*Food_DB!$F$5+H188/100*Food_DB!$F$6+I188/100*Food_DB!$F$7+IFERROR(K188/100*VLOOKUP(J188,Food_DB!$A$2:$F$14,6,FALSE),0)+L188*Food_DB!$F$8</f>
        <v>178.15</v>
      </c>
      <c r="AA188">
        <v>6.5</v>
      </c>
      <c r="AB188">
        <v>30</v>
      </c>
      <c r="AC188">
        <v>0</v>
      </c>
      <c r="AD188">
        <v>0</v>
      </c>
      <c r="AE188">
        <f>Dashboard!$B$6*AA188+Dashboard!$B$6*4*AB188/60+Dashboard!$B$6*8*AC188/120+Dashboard!$B$6*7*AD188</f>
        <v>680</v>
      </c>
      <c r="AF188">
        <f>Dashboard!$B$5</f>
        <v>1700</v>
      </c>
      <c r="AG188">
        <f t="shared" si="10"/>
        <v>2720</v>
      </c>
      <c r="AH188">
        <f t="shared" si="11"/>
        <v>-1332.5</v>
      </c>
    </row>
    <row r="189" spans="1:34">
      <c r="A189">
        <v>46365</v>
      </c>
      <c r="B189" t="s">
        <v>92</v>
      </c>
      <c r="C189" t="s">
        <v>89</v>
      </c>
      <c r="D189">
        <v>2</v>
      </c>
      <c r="E189">
        <v>400</v>
      </c>
      <c r="F189">
        <v>30</v>
      </c>
      <c r="G189">
        <v>1</v>
      </c>
      <c r="H189">
        <v>150</v>
      </c>
      <c r="I189">
        <v>250</v>
      </c>
      <c r="J189" t="s">
        <v>90</v>
      </c>
      <c r="K189">
        <v>250</v>
      </c>
      <c r="L189">
        <v>3</v>
      </c>
      <c r="M189">
        <v>0</v>
      </c>
      <c r="N189">
        <f>D189*Food_DB!$C$2</f>
        <v>150</v>
      </c>
      <c r="O189">
        <f>E189/100*Food_DB!$C$3</f>
        <v>260</v>
      </c>
      <c r="P189">
        <f>F189/30*Food_DB!$C$4</f>
        <v>111</v>
      </c>
      <c r="Q189">
        <f>G189*Food_DB!$C$5</f>
        <v>222</v>
      </c>
      <c r="R189">
        <f>H189/100*Food_DB!$C$6</f>
        <v>12</v>
      </c>
      <c r="S189">
        <f>I189/100*Food_DB!$C$7</f>
        <v>62.5</v>
      </c>
      <c r="T189">
        <f>IFERROR(K189/100*VLOOKUP(J189,Food_DB!$A$2:$F$14,3,FALSE),0)</f>
        <v>575</v>
      </c>
      <c r="U189">
        <f>L189*Food_DB!$C$8</f>
        <v>270</v>
      </c>
      <c r="V189">
        <f t="shared" si="8"/>
        <v>0</v>
      </c>
      <c r="W189">
        <f t="shared" si="9"/>
        <v>1662.5</v>
      </c>
      <c r="X189">
        <f>D189*Food_DB!$D$2+E189/100*Food_DB!$D$3+F189/30*Food_DB!$D$4+G189*Food_DB!$D$5+H189/100*Food_DB!$D$6+I189/100*Food_DB!$D$7+IFERROR(K189/100*VLOOKUP(J189,Food_DB!$A$2:$F$14,4,FALSE),0)+L189*Food_DB!$D$8</f>
        <v>87.999999999999986</v>
      </c>
      <c r="Y189">
        <f>D189*Food_DB!$E$2+E189/100*Food_DB!$E$3+F189/30*Food_DB!$E$4+G189*Food_DB!$E$5+H189/100*Food_DB!$E$6+I189/100*Food_DB!$E$7+IFERROR(K189/100*VLOOKUP(J189,Food_DB!$A$2:$F$14,5,FALSE),0)+L189*Food_DB!$E$8</f>
        <v>68.599999999999994</v>
      </c>
      <c r="Z189">
        <f>D189*Food_DB!$F$2+E189/100*Food_DB!$F$3+F189/30*Food_DB!$F$4+G189*Food_DB!$F$5+H189/100*Food_DB!$F$6+I189/100*Food_DB!$F$7+IFERROR(K189/100*VLOOKUP(J189,Food_DB!$A$2:$F$14,6,FALSE),0)+L189*Food_DB!$F$8</f>
        <v>178.15</v>
      </c>
      <c r="AA189">
        <v>6.5</v>
      </c>
      <c r="AB189">
        <v>30</v>
      </c>
      <c r="AC189">
        <v>0</v>
      </c>
      <c r="AD189">
        <v>0</v>
      </c>
      <c r="AE189">
        <f>Dashboard!$B$6*AA189+Dashboard!$B$6*4*AB189/60+Dashboard!$B$6*8*AC189/120+Dashboard!$B$6*7*AD189</f>
        <v>680</v>
      </c>
      <c r="AF189">
        <f>Dashboard!$B$5</f>
        <v>1700</v>
      </c>
      <c r="AG189">
        <f t="shared" si="10"/>
        <v>2720</v>
      </c>
      <c r="AH189">
        <f t="shared" si="11"/>
        <v>-1057.5</v>
      </c>
    </row>
    <row r="190" spans="1:34">
      <c r="A190">
        <v>46366</v>
      </c>
      <c r="B190" t="s">
        <v>93</v>
      </c>
      <c r="C190" t="s">
        <v>89</v>
      </c>
      <c r="D190">
        <v>2</v>
      </c>
      <c r="E190">
        <v>400</v>
      </c>
      <c r="F190">
        <v>30</v>
      </c>
      <c r="G190">
        <v>1</v>
      </c>
      <c r="H190">
        <v>150</v>
      </c>
      <c r="I190">
        <v>250</v>
      </c>
      <c r="J190" t="s">
        <v>82</v>
      </c>
      <c r="K190">
        <v>250</v>
      </c>
      <c r="L190">
        <v>3</v>
      </c>
      <c r="M190">
        <v>0</v>
      </c>
      <c r="N190">
        <f>D190*Food_DB!$C$2</f>
        <v>150</v>
      </c>
      <c r="O190">
        <f>E190/100*Food_DB!$C$3</f>
        <v>260</v>
      </c>
      <c r="P190">
        <f>F190/30*Food_DB!$C$4</f>
        <v>111</v>
      </c>
      <c r="Q190">
        <f>G190*Food_DB!$C$5</f>
        <v>222</v>
      </c>
      <c r="R190">
        <f>H190/100*Food_DB!$C$6</f>
        <v>12</v>
      </c>
      <c r="S190">
        <f>I190/100*Food_DB!$C$7</f>
        <v>62.5</v>
      </c>
      <c r="T190">
        <f>IFERROR(K190/100*VLOOKUP(J190,Food_DB!$A$2:$F$14,3,FALSE),0)</f>
        <v>550</v>
      </c>
      <c r="U190">
        <f>L190*Food_DB!$C$8</f>
        <v>270</v>
      </c>
      <c r="V190">
        <f t="shared" si="8"/>
        <v>0</v>
      </c>
      <c r="W190">
        <f t="shared" si="9"/>
        <v>1637.5</v>
      </c>
      <c r="X190">
        <f>D190*Food_DB!$D$2+E190/100*Food_DB!$D$3+F190/30*Food_DB!$D$4+G190*Food_DB!$D$5+H190/100*Food_DB!$D$6+I190/100*Food_DB!$D$7+IFERROR(K190/100*VLOOKUP(J190,Food_DB!$A$2:$F$14,4,FALSE),0)+L190*Food_DB!$D$8</f>
        <v>92.999999999999986</v>
      </c>
      <c r="Y190">
        <f>D190*Food_DB!$E$2+E190/100*Food_DB!$E$3+F190/30*Food_DB!$E$4+G190*Food_DB!$E$5+H190/100*Food_DB!$E$6+I190/100*Food_DB!$E$7+IFERROR(K190/100*VLOOKUP(J190,Food_DB!$A$2:$F$14,5,FALSE),0)+L190*Food_DB!$E$8</f>
        <v>63.6</v>
      </c>
      <c r="Z190">
        <f>D190*Food_DB!$F$2+E190/100*Food_DB!$F$3+F190/30*Food_DB!$F$4+G190*Food_DB!$F$5+H190/100*Food_DB!$F$6+I190/100*Food_DB!$F$7+IFERROR(K190/100*VLOOKUP(J190,Food_DB!$A$2:$F$14,6,FALSE),0)+L190*Food_DB!$F$8</f>
        <v>178.15</v>
      </c>
      <c r="AA190">
        <v>6.5</v>
      </c>
      <c r="AB190">
        <v>30</v>
      </c>
      <c r="AC190">
        <v>0</v>
      </c>
      <c r="AD190">
        <v>0</v>
      </c>
      <c r="AE190">
        <f>Dashboard!$B$6*AA190+Dashboard!$B$6*4*AB190/60+Dashboard!$B$6*8*AC190/120+Dashboard!$B$6*7*AD190</f>
        <v>680</v>
      </c>
      <c r="AF190">
        <f>Dashboard!$B$5</f>
        <v>1700</v>
      </c>
      <c r="AG190">
        <f t="shared" si="10"/>
        <v>2720</v>
      </c>
      <c r="AH190">
        <f t="shared" si="11"/>
        <v>-1082.5</v>
      </c>
    </row>
    <row r="191" spans="1:34">
      <c r="A191">
        <v>46367</v>
      </c>
      <c r="B191" t="s">
        <v>80</v>
      </c>
      <c r="C191" t="s">
        <v>81</v>
      </c>
      <c r="D191">
        <v>2</v>
      </c>
      <c r="E191">
        <v>400</v>
      </c>
      <c r="F191">
        <v>30</v>
      </c>
      <c r="G191">
        <v>1</v>
      </c>
      <c r="H191">
        <v>150</v>
      </c>
      <c r="I191">
        <v>250</v>
      </c>
      <c r="J191" t="s">
        <v>85</v>
      </c>
      <c r="K191">
        <v>250</v>
      </c>
      <c r="L191">
        <v>3</v>
      </c>
      <c r="M191">
        <v>1000</v>
      </c>
      <c r="N191">
        <f>D191*Food_DB!$C$2</f>
        <v>150</v>
      </c>
      <c r="O191">
        <f>E191/100*Food_DB!$C$3</f>
        <v>260</v>
      </c>
      <c r="P191">
        <f>F191/30*Food_DB!$C$4</f>
        <v>111</v>
      </c>
      <c r="Q191">
        <f>G191*Food_DB!$C$5</f>
        <v>222</v>
      </c>
      <c r="R191">
        <f>H191/100*Food_DB!$C$6</f>
        <v>12</v>
      </c>
      <c r="S191">
        <f>I191/100*Food_DB!$C$7</f>
        <v>62.5</v>
      </c>
      <c r="T191">
        <f>IFERROR(K191/100*VLOOKUP(J191,Food_DB!$A$2:$F$14,3,FALSE),0)</f>
        <v>450</v>
      </c>
      <c r="U191">
        <f>L191*Food_DB!$C$8</f>
        <v>270</v>
      </c>
      <c r="V191">
        <f t="shared" si="8"/>
        <v>1000</v>
      </c>
      <c r="W191">
        <f t="shared" si="9"/>
        <v>2537.5</v>
      </c>
      <c r="X191">
        <f>D191*Food_DB!$D$2+E191/100*Food_DB!$D$3+F191/30*Food_DB!$D$4+G191*Food_DB!$D$5+H191/100*Food_DB!$D$6+I191/100*Food_DB!$D$7+IFERROR(K191/100*VLOOKUP(J191,Food_DB!$A$2:$F$14,4,FALSE),0)+L191*Food_DB!$D$8</f>
        <v>92.999999999999986</v>
      </c>
      <c r="Y191">
        <f>D191*Food_DB!$E$2+E191/100*Food_DB!$E$3+F191/30*Food_DB!$E$4+G191*Food_DB!$E$5+H191/100*Food_DB!$E$6+I191/100*Food_DB!$E$7+IFERROR(K191/100*VLOOKUP(J191,Food_DB!$A$2:$F$14,5,FALSE),0)+L191*Food_DB!$E$8</f>
        <v>51.1</v>
      </c>
      <c r="Z191">
        <f>D191*Food_DB!$F$2+E191/100*Food_DB!$F$3+F191/30*Food_DB!$F$4+G191*Food_DB!$F$5+H191/100*Food_DB!$F$6+I191/100*Food_DB!$F$7+IFERROR(K191/100*VLOOKUP(J191,Food_DB!$A$2:$F$14,6,FALSE),0)+L191*Food_DB!$F$8</f>
        <v>178.15</v>
      </c>
      <c r="AA191">
        <v>6.5</v>
      </c>
      <c r="AB191">
        <v>30</v>
      </c>
      <c r="AC191">
        <v>0</v>
      </c>
      <c r="AD191">
        <v>0</v>
      </c>
      <c r="AE191">
        <f>Dashboard!$B$6*AA191+Dashboard!$B$6*4*AB191/60+Dashboard!$B$6*8*AC191/120+Dashboard!$B$6*7*AD191</f>
        <v>680</v>
      </c>
      <c r="AF191">
        <f>Dashboard!$B$5</f>
        <v>1700</v>
      </c>
      <c r="AG191">
        <f t="shared" si="10"/>
        <v>2720</v>
      </c>
      <c r="AH191">
        <f t="shared" si="11"/>
        <v>-182.5</v>
      </c>
    </row>
    <row r="192" spans="1:34">
      <c r="A192">
        <v>46368</v>
      </c>
      <c r="B192" t="s">
        <v>83</v>
      </c>
      <c r="C192" t="s">
        <v>84</v>
      </c>
      <c r="D192">
        <v>2</v>
      </c>
      <c r="E192">
        <v>400</v>
      </c>
      <c r="F192">
        <v>30</v>
      </c>
      <c r="G192">
        <v>1</v>
      </c>
      <c r="H192">
        <v>150</v>
      </c>
      <c r="I192">
        <v>250</v>
      </c>
      <c r="J192" t="s">
        <v>87</v>
      </c>
      <c r="K192">
        <v>250</v>
      </c>
      <c r="L192">
        <v>3</v>
      </c>
      <c r="M192">
        <v>0</v>
      </c>
      <c r="N192">
        <f>D192*Food_DB!$C$2</f>
        <v>150</v>
      </c>
      <c r="O192">
        <f>E192/100*Food_DB!$C$3</f>
        <v>260</v>
      </c>
      <c r="P192">
        <f>F192/30*Food_DB!$C$4</f>
        <v>111</v>
      </c>
      <c r="Q192">
        <f>G192*Food_DB!$C$5</f>
        <v>222</v>
      </c>
      <c r="R192">
        <f>H192/100*Food_DB!$C$6</f>
        <v>12</v>
      </c>
      <c r="S192">
        <f>I192/100*Food_DB!$C$7</f>
        <v>62.5</v>
      </c>
      <c r="T192">
        <f>IFERROR(K192/100*VLOOKUP(J192,Food_DB!$A$2:$F$14,3,FALSE),0)</f>
        <v>300</v>
      </c>
      <c r="U192">
        <f>L192*Food_DB!$C$8</f>
        <v>270</v>
      </c>
      <c r="V192">
        <f t="shared" si="8"/>
        <v>0</v>
      </c>
      <c r="W192">
        <f t="shared" si="9"/>
        <v>1387.5</v>
      </c>
      <c r="X192">
        <f>D192*Food_DB!$D$2+E192/100*Food_DB!$D$3+F192/30*Food_DB!$D$4+G192*Food_DB!$D$5+H192/100*Food_DB!$D$6+I192/100*Food_DB!$D$7+IFERROR(K192/100*VLOOKUP(J192,Food_DB!$A$2:$F$14,4,FALSE),0)+L192*Food_DB!$D$8</f>
        <v>100.49999999999999</v>
      </c>
      <c r="Y192">
        <f>D192*Food_DB!$E$2+E192/100*Food_DB!$E$3+F192/30*Food_DB!$E$4+G192*Food_DB!$E$5+H192/100*Food_DB!$E$6+I192/100*Food_DB!$E$7+IFERROR(K192/100*VLOOKUP(J192,Food_DB!$A$2:$F$14,5,FALSE),0)+L192*Food_DB!$E$8</f>
        <v>32.35</v>
      </c>
      <c r="Z192">
        <f>D192*Food_DB!$F$2+E192/100*Food_DB!$F$3+F192/30*Food_DB!$F$4+G192*Food_DB!$F$5+H192/100*Food_DB!$F$6+I192/100*Food_DB!$F$7+IFERROR(K192/100*VLOOKUP(J192,Food_DB!$A$2:$F$14,6,FALSE),0)+L192*Food_DB!$F$8</f>
        <v>178.15</v>
      </c>
      <c r="AA192">
        <v>0</v>
      </c>
      <c r="AB192">
        <v>0</v>
      </c>
      <c r="AC192">
        <v>0</v>
      </c>
      <c r="AD192">
        <v>3.5</v>
      </c>
      <c r="AE192">
        <f>Dashboard!$B$6*AA192+Dashboard!$B$6*4*AB192/60+Dashboard!$B$6*8*AC192/120+Dashboard!$B$6*7*AD192</f>
        <v>1960</v>
      </c>
      <c r="AF192">
        <f>Dashboard!$B$5</f>
        <v>1700</v>
      </c>
      <c r="AG192">
        <f t="shared" si="10"/>
        <v>4000</v>
      </c>
      <c r="AH192">
        <f t="shared" si="11"/>
        <v>-2612.5</v>
      </c>
    </row>
    <row r="193" spans="1:34">
      <c r="A193">
        <v>46369</v>
      </c>
      <c r="B193" t="s">
        <v>86</v>
      </c>
      <c r="C193" t="s">
        <v>84</v>
      </c>
      <c r="D193">
        <v>2</v>
      </c>
      <c r="E193">
        <v>400</v>
      </c>
      <c r="F193">
        <v>30</v>
      </c>
      <c r="G193">
        <v>1</v>
      </c>
      <c r="H193">
        <v>150</v>
      </c>
      <c r="I193">
        <v>250</v>
      </c>
      <c r="J193" t="s">
        <v>90</v>
      </c>
      <c r="K193">
        <v>250</v>
      </c>
      <c r="L193">
        <v>3</v>
      </c>
      <c r="M193">
        <v>0</v>
      </c>
      <c r="N193">
        <f>D193*Food_DB!$C$2</f>
        <v>150</v>
      </c>
      <c r="O193">
        <f>E193/100*Food_DB!$C$3</f>
        <v>260</v>
      </c>
      <c r="P193">
        <f>F193/30*Food_DB!$C$4</f>
        <v>111</v>
      </c>
      <c r="Q193">
        <f>G193*Food_DB!$C$5</f>
        <v>222</v>
      </c>
      <c r="R193">
        <f>H193/100*Food_DB!$C$6</f>
        <v>12</v>
      </c>
      <c r="S193">
        <f>I193/100*Food_DB!$C$7</f>
        <v>62.5</v>
      </c>
      <c r="T193">
        <f>IFERROR(K193/100*VLOOKUP(J193,Food_DB!$A$2:$F$14,3,FALSE),0)</f>
        <v>575</v>
      </c>
      <c r="U193">
        <f>L193*Food_DB!$C$8</f>
        <v>270</v>
      </c>
      <c r="V193">
        <f t="shared" si="8"/>
        <v>0</v>
      </c>
      <c r="W193">
        <f t="shared" si="9"/>
        <v>1662.5</v>
      </c>
      <c r="X193">
        <f>D193*Food_DB!$D$2+E193/100*Food_DB!$D$3+F193/30*Food_DB!$D$4+G193*Food_DB!$D$5+H193/100*Food_DB!$D$6+I193/100*Food_DB!$D$7+IFERROR(K193/100*VLOOKUP(J193,Food_DB!$A$2:$F$14,4,FALSE),0)+L193*Food_DB!$D$8</f>
        <v>87.999999999999986</v>
      </c>
      <c r="Y193">
        <f>D193*Food_DB!$E$2+E193/100*Food_DB!$E$3+F193/30*Food_DB!$E$4+G193*Food_DB!$E$5+H193/100*Food_DB!$E$6+I193/100*Food_DB!$E$7+IFERROR(K193/100*VLOOKUP(J193,Food_DB!$A$2:$F$14,5,FALSE),0)+L193*Food_DB!$E$8</f>
        <v>68.599999999999994</v>
      </c>
      <c r="Z193">
        <f>D193*Food_DB!$F$2+E193/100*Food_DB!$F$3+F193/30*Food_DB!$F$4+G193*Food_DB!$F$5+H193/100*Food_DB!$F$6+I193/100*Food_DB!$F$7+IFERROR(K193/100*VLOOKUP(J193,Food_DB!$A$2:$F$14,6,FALSE),0)+L193*Food_DB!$F$8</f>
        <v>178.15</v>
      </c>
      <c r="AA193">
        <v>0</v>
      </c>
      <c r="AB193">
        <v>0</v>
      </c>
      <c r="AC193">
        <v>0</v>
      </c>
      <c r="AD193">
        <v>3.5</v>
      </c>
      <c r="AE193">
        <f>Dashboard!$B$6*AA193+Dashboard!$B$6*4*AB193/60+Dashboard!$B$6*8*AC193/120+Dashboard!$B$6*7*AD193</f>
        <v>1960</v>
      </c>
      <c r="AF193">
        <f>Dashboard!$B$5</f>
        <v>1700</v>
      </c>
      <c r="AG193">
        <f t="shared" si="10"/>
        <v>4000</v>
      </c>
      <c r="AH193">
        <f t="shared" si="11"/>
        <v>-2337.5</v>
      </c>
    </row>
    <row r="194" spans="1:34">
      <c r="A194">
        <v>46370</v>
      </c>
      <c r="B194" t="s">
        <v>88</v>
      </c>
      <c r="C194" t="s">
        <v>89</v>
      </c>
      <c r="D194">
        <v>2</v>
      </c>
      <c r="E194">
        <v>400</v>
      </c>
      <c r="F194">
        <v>30</v>
      </c>
      <c r="G194">
        <v>1</v>
      </c>
      <c r="H194">
        <v>150</v>
      </c>
      <c r="I194">
        <v>250</v>
      </c>
      <c r="J194" t="s">
        <v>82</v>
      </c>
      <c r="K194">
        <v>250</v>
      </c>
      <c r="L194">
        <v>3</v>
      </c>
      <c r="M194">
        <v>0</v>
      </c>
      <c r="N194">
        <f>D194*Food_DB!$C$2</f>
        <v>150</v>
      </c>
      <c r="O194">
        <f>E194/100*Food_DB!$C$3</f>
        <v>260</v>
      </c>
      <c r="P194">
        <f>F194/30*Food_DB!$C$4</f>
        <v>111</v>
      </c>
      <c r="Q194">
        <f>G194*Food_DB!$C$5</f>
        <v>222</v>
      </c>
      <c r="R194">
        <f>H194/100*Food_DB!$C$6</f>
        <v>12</v>
      </c>
      <c r="S194">
        <f>I194/100*Food_DB!$C$7</f>
        <v>62.5</v>
      </c>
      <c r="T194">
        <f>IFERROR(K194/100*VLOOKUP(J194,Food_DB!$A$2:$F$14,3,FALSE),0)</f>
        <v>550</v>
      </c>
      <c r="U194">
        <f>L194*Food_DB!$C$8</f>
        <v>270</v>
      </c>
      <c r="V194">
        <f t="shared" ref="V194:V257" si="12">M194</f>
        <v>0</v>
      </c>
      <c r="W194">
        <f t="shared" ref="W194:W257" si="13">SUM(N194:V194)</f>
        <v>1637.5</v>
      </c>
      <c r="X194">
        <f>D194*Food_DB!$D$2+E194/100*Food_DB!$D$3+F194/30*Food_DB!$D$4+G194*Food_DB!$D$5+H194/100*Food_DB!$D$6+I194/100*Food_DB!$D$7+IFERROR(K194/100*VLOOKUP(J194,Food_DB!$A$2:$F$14,4,FALSE),0)+L194*Food_DB!$D$8</f>
        <v>92.999999999999986</v>
      </c>
      <c r="Y194">
        <f>D194*Food_DB!$E$2+E194/100*Food_DB!$E$3+F194/30*Food_DB!$E$4+G194*Food_DB!$E$5+H194/100*Food_DB!$E$6+I194/100*Food_DB!$E$7+IFERROR(K194/100*VLOOKUP(J194,Food_DB!$A$2:$F$14,5,FALSE),0)+L194*Food_DB!$E$8</f>
        <v>63.6</v>
      </c>
      <c r="Z194">
        <f>D194*Food_DB!$F$2+E194/100*Food_DB!$F$3+F194/30*Food_DB!$F$4+G194*Food_DB!$F$5+H194/100*Food_DB!$F$6+I194/100*Food_DB!$F$7+IFERROR(K194/100*VLOOKUP(J194,Food_DB!$A$2:$F$14,6,FALSE),0)+L194*Food_DB!$F$8</f>
        <v>178.15</v>
      </c>
      <c r="AA194">
        <v>6.5</v>
      </c>
      <c r="AB194">
        <v>30</v>
      </c>
      <c r="AC194">
        <v>0</v>
      </c>
      <c r="AD194">
        <v>0</v>
      </c>
      <c r="AE194">
        <f>Dashboard!$B$6*AA194+Dashboard!$B$6*4*AB194/60+Dashboard!$B$6*8*AC194/120+Dashboard!$B$6*7*AD194</f>
        <v>680</v>
      </c>
      <c r="AF194">
        <f>Dashboard!$B$5</f>
        <v>1700</v>
      </c>
      <c r="AG194">
        <f t="shared" ref="AG194:AG257" si="14">AF194*1.2+AE194</f>
        <v>2720</v>
      </c>
      <c r="AH194">
        <f t="shared" ref="AH194:AH257" si="15">W194-AG194</f>
        <v>-1082.5</v>
      </c>
    </row>
    <row r="195" spans="1:34">
      <c r="A195">
        <v>46371</v>
      </c>
      <c r="B195" t="s">
        <v>91</v>
      </c>
      <c r="C195" t="s">
        <v>89</v>
      </c>
      <c r="D195">
        <v>2</v>
      </c>
      <c r="E195">
        <v>400</v>
      </c>
      <c r="F195">
        <v>30</v>
      </c>
      <c r="G195">
        <v>1</v>
      </c>
      <c r="H195">
        <v>150</v>
      </c>
      <c r="I195">
        <v>250</v>
      </c>
      <c r="J195" t="s">
        <v>85</v>
      </c>
      <c r="K195">
        <v>250</v>
      </c>
      <c r="L195">
        <v>3</v>
      </c>
      <c r="M195">
        <v>0</v>
      </c>
      <c r="N195">
        <f>D195*Food_DB!$C$2</f>
        <v>150</v>
      </c>
      <c r="O195">
        <f>E195/100*Food_DB!$C$3</f>
        <v>260</v>
      </c>
      <c r="P195">
        <f>F195/30*Food_DB!$C$4</f>
        <v>111</v>
      </c>
      <c r="Q195">
        <f>G195*Food_DB!$C$5</f>
        <v>222</v>
      </c>
      <c r="R195">
        <f>H195/100*Food_DB!$C$6</f>
        <v>12</v>
      </c>
      <c r="S195">
        <f>I195/100*Food_DB!$C$7</f>
        <v>62.5</v>
      </c>
      <c r="T195">
        <f>IFERROR(K195/100*VLOOKUP(J195,Food_DB!$A$2:$F$14,3,FALSE),0)</f>
        <v>450</v>
      </c>
      <c r="U195">
        <f>L195*Food_DB!$C$8</f>
        <v>270</v>
      </c>
      <c r="V195">
        <f t="shared" si="12"/>
        <v>0</v>
      </c>
      <c r="W195">
        <f t="shared" si="13"/>
        <v>1537.5</v>
      </c>
      <c r="X195">
        <f>D195*Food_DB!$D$2+E195/100*Food_DB!$D$3+F195/30*Food_DB!$D$4+G195*Food_DB!$D$5+H195/100*Food_DB!$D$6+I195/100*Food_DB!$D$7+IFERROR(K195/100*VLOOKUP(J195,Food_DB!$A$2:$F$14,4,FALSE),0)+L195*Food_DB!$D$8</f>
        <v>92.999999999999986</v>
      </c>
      <c r="Y195">
        <f>D195*Food_DB!$E$2+E195/100*Food_DB!$E$3+F195/30*Food_DB!$E$4+G195*Food_DB!$E$5+H195/100*Food_DB!$E$6+I195/100*Food_DB!$E$7+IFERROR(K195/100*VLOOKUP(J195,Food_DB!$A$2:$F$14,5,FALSE),0)+L195*Food_DB!$E$8</f>
        <v>51.1</v>
      </c>
      <c r="Z195">
        <f>D195*Food_DB!$F$2+E195/100*Food_DB!$F$3+F195/30*Food_DB!$F$4+G195*Food_DB!$F$5+H195/100*Food_DB!$F$6+I195/100*Food_DB!$F$7+IFERROR(K195/100*VLOOKUP(J195,Food_DB!$A$2:$F$14,6,FALSE),0)+L195*Food_DB!$F$8</f>
        <v>178.15</v>
      </c>
      <c r="AA195">
        <v>6.5</v>
      </c>
      <c r="AB195">
        <v>30</v>
      </c>
      <c r="AC195">
        <v>0</v>
      </c>
      <c r="AD195">
        <v>0</v>
      </c>
      <c r="AE195">
        <f>Dashboard!$B$6*AA195+Dashboard!$B$6*4*AB195/60+Dashboard!$B$6*8*AC195/120+Dashboard!$B$6*7*AD195</f>
        <v>680</v>
      </c>
      <c r="AF195">
        <f>Dashboard!$B$5</f>
        <v>1700</v>
      </c>
      <c r="AG195">
        <f t="shared" si="14"/>
        <v>2720</v>
      </c>
      <c r="AH195">
        <f t="shared" si="15"/>
        <v>-1182.5</v>
      </c>
    </row>
    <row r="196" spans="1:34">
      <c r="A196">
        <v>46372</v>
      </c>
      <c r="B196" t="s">
        <v>92</v>
      </c>
      <c r="C196" t="s">
        <v>89</v>
      </c>
      <c r="D196">
        <v>2</v>
      </c>
      <c r="E196">
        <v>400</v>
      </c>
      <c r="F196">
        <v>30</v>
      </c>
      <c r="G196">
        <v>1</v>
      </c>
      <c r="H196">
        <v>150</v>
      </c>
      <c r="I196">
        <v>250</v>
      </c>
      <c r="J196" t="s">
        <v>87</v>
      </c>
      <c r="K196">
        <v>250</v>
      </c>
      <c r="L196">
        <v>3</v>
      </c>
      <c r="M196">
        <v>0</v>
      </c>
      <c r="N196">
        <f>D196*Food_DB!$C$2</f>
        <v>150</v>
      </c>
      <c r="O196">
        <f>E196/100*Food_DB!$C$3</f>
        <v>260</v>
      </c>
      <c r="P196">
        <f>F196/30*Food_DB!$C$4</f>
        <v>111</v>
      </c>
      <c r="Q196">
        <f>G196*Food_DB!$C$5</f>
        <v>222</v>
      </c>
      <c r="R196">
        <f>H196/100*Food_DB!$C$6</f>
        <v>12</v>
      </c>
      <c r="S196">
        <f>I196/100*Food_DB!$C$7</f>
        <v>62.5</v>
      </c>
      <c r="T196">
        <f>IFERROR(K196/100*VLOOKUP(J196,Food_DB!$A$2:$F$14,3,FALSE),0)</f>
        <v>300</v>
      </c>
      <c r="U196">
        <f>L196*Food_DB!$C$8</f>
        <v>270</v>
      </c>
      <c r="V196">
        <f t="shared" si="12"/>
        <v>0</v>
      </c>
      <c r="W196">
        <f t="shared" si="13"/>
        <v>1387.5</v>
      </c>
      <c r="X196">
        <f>D196*Food_DB!$D$2+E196/100*Food_DB!$D$3+F196/30*Food_DB!$D$4+G196*Food_DB!$D$5+H196/100*Food_DB!$D$6+I196/100*Food_DB!$D$7+IFERROR(K196/100*VLOOKUP(J196,Food_DB!$A$2:$F$14,4,FALSE),0)+L196*Food_DB!$D$8</f>
        <v>100.49999999999999</v>
      </c>
      <c r="Y196">
        <f>D196*Food_DB!$E$2+E196/100*Food_DB!$E$3+F196/30*Food_DB!$E$4+G196*Food_DB!$E$5+H196/100*Food_DB!$E$6+I196/100*Food_DB!$E$7+IFERROR(K196/100*VLOOKUP(J196,Food_DB!$A$2:$F$14,5,FALSE),0)+L196*Food_DB!$E$8</f>
        <v>32.35</v>
      </c>
      <c r="Z196">
        <f>D196*Food_DB!$F$2+E196/100*Food_DB!$F$3+F196/30*Food_DB!$F$4+G196*Food_DB!$F$5+H196/100*Food_DB!$F$6+I196/100*Food_DB!$F$7+IFERROR(K196/100*VLOOKUP(J196,Food_DB!$A$2:$F$14,6,FALSE),0)+L196*Food_DB!$F$8</f>
        <v>178.15</v>
      </c>
      <c r="AA196">
        <v>6.5</v>
      </c>
      <c r="AB196">
        <v>30</v>
      </c>
      <c r="AC196">
        <v>0</v>
      </c>
      <c r="AD196">
        <v>0</v>
      </c>
      <c r="AE196">
        <f>Dashboard!$B$6*AA196+Dashboard!$B$6*4*AB196/60+Dashboard!$B$6*8*AC196/120+Dashboard!$B$6*7*AD196</f>
        <v>680</v>
      </c>
      <c r="AF196">
        <f>Dashboard!$B$5</f>
        <v>1700</v>
      </c>
      <c r="AG196">
        <f t="shared" si="14"/>
        <v>2720</v>
      </c>
      <c r="AH196">
        <f t="shared" si="15"/>
        <v>-1332.5</v>
      </c>
    </row>
    <row r="197" spans="1:34">
      <c r="A197">
        <v>46373</v>
      </c>
      <c r="B197" t="s">
        <v>93</v>
      </c>
      <c r="C197" t="s">
        <v>89</v>
      </c>
      <c r="D197">
        <v>2</v>
      </c>
      <c r="E197">
        <v>400</v>
      </c>
      <c r="F197">
        <v>30</v>
      </c>
      <c r="G197">
        <v>1</v>
      </c>
      <c r="H197">
        <v>150</v>
      </c>
      <c r="I197">
        <v>250</v>
      </c>
      <c r="J197" t="s">
        <v>90</v>
      </c>
      <c r="K197">
        <v>250</v>
      </c>
      <c r="L197">
        <v>3</v>
      </c>
      <c r="M197">
        <v>0</v>
      </c>
      <c r="N197">
        <f>D197*Food_DB!$C$2</f>
        <v>150</v>
      </c>
      <c r="O197">
        <f>E197/100*Food_DB!$C$3</f>
        <v>260</v>
      </c>
      <c r="P197">
        <f>F197/30*Food_DB!$C$4</f>
        <v>111</v>
      </c>
      <c r="Q197">
        <f>G197*Food_DB!$C$5</f>
        <v>222</v>
      </c>
      <c r="R197">
        <f>H197/100*Food_DB!$C$6</f>
        <v>12</v>
      </c>
      <c r="S197">
        <f>I197/100*Food_DB!$C$7</f>
        <v>62.5</v>
      </c>
      <c r="T197">
        <f>IFERROR(K197/100*VLOOKUP(J197,Food_DB!$A$2:$F$14,3,FALSE),0)</f>
        <v>575</v>
      </c>
      <c r="U197">
        <f>L197*Food_DB!$C$8</f>
        <v>270</v>
      </c>
      <c r="V197">
        <f t="shared" si="12"/>
        <v>0</v>
      </c>
      <c r="W197">
        <f t="shared" si="13"/>
        <v>1662.5</v>
      </c>
      <c r="X197">
        <f>D197*Food_DB!$D$2+E197/100*Food_DB!$D$3+F197/30*Food_DB!$D$4+G197*Food_DB!$D$5+H197/100*Food_DB!$D$6+I197/100*Food_DB!$D$7+IFERROR(K197/100*VLOOKUP(J197,Food_DB!$A$2:$F$14,4,FALSE),0)+L197*Food_DB!$D$8</f>
        <v>87.999999999999986</v>
      </c>
      <c r="Y197">
        <f>D197*Food_DB!$E$2+E197/100*Food_DB!$E$3+F197/30*Food_DB!$E$4+G197*Food_DB!$E$5+H197/100*Food_DB!$E$6+I197/100*Food_DB!$E$7+IFERROR(K197/100*VLOOKUP(J197,Food_DB!$A$2:$F$14,5,FALSE),0)+L197*Food_DB!$E$8</f>
        <v>68.599999999999994</v>
      </c>
      <c r="Z197">
        <f>D197*Food_DB!$F$2+E197/100*Food_DB!$F$3+F197/30*Food_DB!$F$4+G197*Food_DB!$F$5+H197/100*Food_DB!$F$6+I197/100*Food_DB!$F$7+IFERROR(K197/100*VLOOKUP(J197,Food_DB!$A$2:$F$14,6,FALSE),0)+L197*Food_DB!$F$8</f>
        <v>178.15</v>
      </c>
      <c r="AA197">
        <v>6.5</v>
      </c>
      <c r="AB197">
        <v>30</v>
      </c>
      <c r="AC197">
        <v>0</v>
      </c>
      <c r="AD197">
        <v>0</v>
      </c>
      <c r="AE197">
        <f>Dashboard!$B$6*AA197+Dashboard!$B$6*4*AB197/60+Dashboard!$B$6*8*AC197/120+Dashboard!$B$6*7*AD197</f>
        <v>680</v>
      </c>
      <c r="AF197">
        <f>Dashboard!$B$5</f>
        <v>1700</v>
      </c>
      <c r="AG197">
        <f t="shared" si="14"/>
        <v>2720</v>
      </c>
      <c r="AH197">
        <f t="shared" si="15"/>
        <v>-1057.5</v>
      </c>
    </row>
    <row r="198" spans="1:34">
      <c r="A198">
        <v>46374</v>
      </c>
      <c r="B198" t="s">
        <v>80</v>
      </c>
      <c r="C198" t="s">
        <v>81</v>
      </c>
      <c r="D198">
        <v>2</v>
      </c>
      <c r="E198">
        <v>400</v>
      </c>
      <c r="F198">
        <v>30</v>
      </c>
      <c r="G198">
        <v>1</v>
      </c>
      <c r="H198">
        <v>150</v>
      </c>
      <c r="I198">
        <v>250</v>
      </c>
      <c r="J198" t="s">
        <v>82</v>
      </c>
      <c r="K198">
        <v>250</v>
      </c>
      <c r="L198">
        <v>3</v>
      </c>
      <c r="M198">
        <v>1000</v>
      </c>
      <c r="N198">
        <f>D198*Food_DB!$C$2</f>
        <v>150</v>
      </c>
      <c r="O198">
        <f>E198/100*Food_DB!$C$3</f>
        <v>260</v>
      </c>
      <c r="P198">
        <f>F198/30*Food_DB!$C$4</f>
        <v>111</v>
      </c>
      <c r="Q198">
        <f>G198*Food_DB!$C$5</f>
        <v>222</v>
      </c>
      <c r="R198">
        <f>H198/100*Food_DB!$C$6</f>
        <v>12</v>
      </c>
      <c r="S198">
        <f>I198/100*Food_DB!$C$7</f>
        <v>62.5</v>
      </c>
      <c r="T198">
        <f>IFERROR(K198/100*VLOOKUP(J198,Food_DB!$A$2:$F$14,3,FALSE),0)</f>
        <v>550</v>
      </c>
      <c r="U198">
        <f>L198*Food_DB!$C$8</f>
        <v>270</v>
      </c>
      <c r="V198">
        <f t="shared" si="12"/>
        <v>1000</v>
      </c>
      <c r="W198">
        <f t="shared" si="13"/>
        <v>2637.5</v>
      </c>
      <c r="X198">
        <f>D198*Food_DB!$D$2+E198/100*Food_DB!$D$3+F198/30*Food_DB!$D$4+G198*Food_DB!$D$5+H198/100*Food_DB!$D$6+I198/100*Food_DB!$D$7+IFERROR(K198/100*VLOOKUP(J198,Food_DB!$A$2:$F$14,4,FALSE),0)+L198*Food_DB!$D$8</f>
        <v>92.999999999999986</v>
      </c>
      <c r="Y198">
        <f>D198*Food_DB!$E$2+E198/100*Food_DB!$E$3+F198/30*Food_DB!$E$4+G198*Food_DB!$E$5+H198/100*Food_DB!$E$6+I198/100*Food_DB!$E$7+IFERROR(K198/100*VLOOKUP(J198,Food_DB!$A$2:$F$14,5,FALSE),0)+L198*Food_DB!$E$8</f>
        <v>63.6</v>
      </c>
      <c r="Z198">
        <f>D198*Food_DB!$F$2+E198/100*Food_DB!$F$3+F198/30*Food_DB!$F$4+G198*Food_DB!$F$5+H198/100*Food_DB!$F$6+I198/100*Food_DB!$F$7+IFERROR(K198/100*VLOOKUP(J198,Food_DB!$A$2:$F$14,6,FALSE),0)+L198*Food_DB!$F$8</f>
        <v>178.15</v>
      </c>
      <c r="AA198">
        <v>6.5</v>
      </c>
      <c r="AB198">
        <v>30</v>
      </c>
      <c r="AC198">
        <v>0</v>
      </c>
      <c r="AD198">
        <v>0</v>
      </c>
      <c r="AE198">
        <f>Dashboard!$B$6*AA198+Dashboard!$B$6*4*AB198/60+Dashboard!$B$6*8*AC198/120+Dashboard!$B$6*7*AD198</f>
        <v>680</v>
      </c>
      <c r="AF198">
        <f>Dashboard!$B$5</f>
        <v>1700</v>
      </c>
      <c r="AG198">
        <f t="shared" si="14"/>
        <v>2720</v>
      </c>
      <c r="AH198">
        <f t="shared" si="15"/>
        <v>-82.5</v>
      </c>
    </row>
    <row r="199" spans="1:34">
      <c r="A199">
        <v>46375</v>
      </c>
      <c r="B199" t="s">
        <v>83</v>
      </c>
      <c r="C199" t="s">
        <v>84</v>
      </c>
      <c r="D199">
        <v>2</v>
      </c>
      <c r="E199">
        <v>400</v>
      </c>
      <c r="F199">
        <v>30</v>
      </c>
      <c r="G199">
        <v>1</v>
      </c>
      <c r="H199">
        <v>150</v>
      </c>
      <c r="I199">
        <v>250</v>
      </c>
      <c r="J199" t="s">
        <v>85</v>
      </c>
      <c r="K199">
        <v>250</v>
      </c>
      <c r="L199">
        <v>3</v>
      </c>
      <c r="M199">
        <v>0</v>
      </c>
      <c r="N199">
        <f>D199*Food_DB!$C$2</f>
        <v>150</v>
      </c>
      <c r="O199">
        <f>E199/100*Food_DB!$C$3</f>
        <v>260</v>
      </c>
      <c r="P199">
        <f>F199/30*Food_DB!$C$4</f>
        <v>111</v>
      </c>
      <c r="Q199">
        <f>G199*Food_DB!$C$5</f>
        <v>222</v>
      </c>
      <c r="R199">
        <f>H199/100*Food_DB!$C$6</f>
        <v>12</v>
      </c>
      <c r="S199">
        <f>I199/100*Food_DB!$C$7</f>
        <v>62.5</v>
      </c>
      <c r="T199">
        <f>IFERROR(K199/100*VLOOKUP(J199,Food_DB!$A$2:$F$14,3,FALSE),0)</f>
        <v>450</v>
      </c>
      <c r="U199">
        <f>L199*Food_DB!$C$8</f>
        <v>270</v>
      </c>
      <c r="V199">
        <f t="shared" si="12"/>
        <v>0</v>
      </c>
      <c r="W199">
        <f t="shared" si="13"/>
        <v>1537.5</v>
      </c>
      <c r="X199">
        <f>D199*Food_DB!$D$2+E199/100*Food_DB!$D$3+F199/30*Food_DB!$D$4+G199*Food_DB!$D$5+H199/100*Food_DB!$D$6+I199/100*Food_DB!$D$7+IFERROR(K199/100*VLOOKUP(J199,Food_DB!$A$2:$F$14,4,FALSE),0)+L199*Food_DB!$D$8</f>
        <v>92.999999999999986</v>
      </c>
      <c r="Y199">
        <f>D199*Food_DB!$E$2+E199/100*Food_DB!$E$3+F199/30*Food_DB!$E$4+G199*Food_DB!$E$5+H199/100*Food_DB!$E$6+I199/100*Food_DB!$E$7+IFERROR(K199/100*VLOOKUP(J199,Food_DB!$A$2:$F$14,5,FALSE),0)+L199*Food_DB!$E$8</f>
        <v>51.1</v>
      </c>
      <c r="Z199">
        <f>D199*Food_DB!$F$2+E199/100*Food_DB!$F$3+F199/30*Food_DB!$F$4+G199*Food_DB!$F$5+H199/100*Food_DB!$F$6+I199/100*Food_DB!$F$7+IFERROR(K199/100*VLOOKUP(J199,Food_DB!$A$2:$F$14,6,FALSE),0)+L199*Food_DB!$F$8</f>
        <v>178.15</v>
      </c>
      <c r="AA199">
        <v>0</v>
      </c>
      <c r="AB199">
        <v>0</v>
      </c>
      <c r="AC199">
        <v>0</v>
      </c>
      <c r="AD199">
        <v>3.5</v>
      </c>
      <c r="AE199">
        <f>Dashboard!$B$6*AA199+Dashboard!$B$6*4*AB199/60+Dashboard!$B$6*8*AC199/120+Dashboard!$B$6*7*AD199</f>
        <v>1960</v>
      </c>
      <c r="AF199">
        <f>Dashboard!$B$5</f>
        <v>1700</v>
      </c>
      <c r="AG199">
        <f t="shared" si="14"/>
        <v>4000</v>
      </c>
      <c r="AH199">
        <f t="shared" si="15"/>
        <v>-2462.5</v>
      </c>
    </row>
    <row r="200" spans="1:34">
      <c r="A200">
        <v>46376</v>
      </c>
      <c r="B200" t="s">
        <v>86</v>
      </c>
      <c r="C200" t="s">
        <v>84</v>
      </c>
      <c r="D200">
        <v>2</v>
      </c>
      <c r="E200">
        <v>400</v>
      </c>
      <c r="F200">
        <v>30</v>
      </c>
      <c r="G200">
        <v>1</v>
      </c>
      <c r="H200">
        <v>150</v>
      </c>
      <c r="I200">
        <v>250</v>
      </c>
      <c r="J200" t="s">
        <v>87</v>
      </c>
      <c r="K200">
        <v>250</v>
      </c>
      <c r="L200">
        <v>3</v>
      </c>
      <c r="M200">
        <v>0</v>
      </c>
      <c r="N200">
        <f>D200*Food_DB!$C$2</f>
        <v>150</v>
      </c>
      <c r="O200">
        <f>E200/100*Food_DB!$C$3</f>
        <v>260</v>
      </c>
      <c r="P200">
        <f>F200/30*Food_DB!$C$4</f>
        <v>111</v>
      </c>
      <c r="Q200">
        <f>G200*Food_DB!$C$5</f>
        <v>222</v>
      </c>
      <c r="R200">
        <f>H200/100*Food_DB!$C$6</f>
        <v>12</v>
      </c>
      <c r="S200">
        <f>I200/100*Food_DB!$C$7</f>
        <v>62.5</v>
      </c>
      <c r="T200">
        <f>IFERROR(K200/100*VLOOKUP(J200,Food_DB!$A$2:$F$14,3,FALSE),0)</f>
        <v>300</v>
      </c>
      <c r="U200">
        <f>L200*Food_DB!$C$8</f>
        <v>270</v>
      </c>
      <c r="V200">
        <f t="shared" si="12"/>
        <v>0</v>
      </c>
      <c r="W200">
        <f t="shared" si="13"/>
        <v>1387.5</v>
      </c>
      <c r="X200">
        <f>D200*Food_DB!$D$2+E200/100*Food_DB!$D$3+F200/30*Food_DB!$D$4+G200*Food_DB!$D$5+H200/100*Food_DB!$D$6+I200/100*Food_DB!$D$7+IFERROR(K200/100*VLOOKUP(J200,Food_DB!$A$2:$F$14,4,FALSE),0)+L200*Food_DB!$D$8</f>
        <v>100.49999999999999</v>
      </c>
      <c r="Y200">
        <f>D200*Food_DB!$E$2+E200/100*Food_DB!$E$3+F200/30*Food_DB!$E$4+G200*Food_DB!$E$5+H200/100*Food_DB!$E$6+I200/100*Food_DB!$E$7+IFERROR(K200/100*VLOOKUP(J200,Food_DB!$A$2:$F$14,5,FALSE),0)+L200*Food_DB!$E$8</f>
        <v>32.35</v>
      </c>
      <c r="Z200">
        <f>D200*Food_DB!$F$2+E200/100*Food_DB!$F$3+F200/30*Food_DB!$F$4+G200*Food_DB!$F$5+H200/100*Food_DB!$F$6+I200/100*Food_DB!$F$7+IFERROR(K200/100*VLOOKUP(J200,Food_DB!$A$2:$F$14,6,FALSE),0)+L200*Food_DB!$F$8</f>
        <v>178.15</v>
      </c>
      <c r="AA200">
        <v>0</v>
      </c>
      <c r="AB200">
        <v>0</v>
      </c>
      <c r="AC200">
        <v>0</v>
      </c>
      <c r="AD200">
        <v>3.5</v>
      </c>
      <c r="AE200">
        <f>Dashboard!$B$6*AA200+Dashboard!$B$6*4*AB200/60+Dashboard!$B$6*8*AC200/120+Dashboard!$B$6*7*AD200</f>
        <v>1960</v>
      </c>
      <c r="AF200">
        <f>Dashboard!$B$5</f>
        <v>1700</v>
      </c>
      <c r="AG200">
        <f t="shared" si="14"/>
        <v>4000</v>
      </c>
      <c r="AH200">
        <f t="shared" si="15"/>
        <v>-2612.5</v>
      </c>
    </row>
    <row r="201" spans="1:34">
      <c r="A201">
        <v>46377</v>
      </c>
      <c r="B201" t="s">
        <v>88</v>
      </c>
      <c r="C201" t="s">
        <v>89</v>
      </c>
      <c r="D201">
        <v>2</v>
      </c>
      <c r="E201">
        <v>400</v>
      </c>
      <c r="F201">
        <v>30</v>
      </c>
      <c r="G201">
        <v>1</v>
      </c>
      <c r="H201">
        <v>150</v>
      </c>
      <c r="I201">
        <v>250</v>
      </c>
      <c r="J201" t="s">
        <v>90</v>
      </c>
      <c r="K201">
        <v>250</v>
      </c>
      <c r="L201">
        <v>3</v>
      </c>
      <c r="M201">
        <v>0</v>
      </c>
      <c r="N201">
        <f>D201*Food_DB!$C$2</f>
        <v>150</v>
      </c>
      <c r="O201">
        <f>E201/100*Food_DB!$C$3</f>
        <v>260</v>
      </c>
      <c r="P201">
        <f>F201/30*Food_DB!$C$4</f>
        <v>111</v>
      </c>
      <c r="Q201">
        <f>G201*Food_DB!$C$5</f>
        <v>222</v>
      </c>
      <c r="R201">
        <f>H201/100*Food_DB!$C$6</f>
        <v>12</v>
      </c>
      <c r="S201">
        <f>I201/100*Food_DB!$C$7</f>
        <v>62.5</v>
      </c>
      <c r="T201">
        <f>IFERROR(K201/100*VLOOKUP(J201,Food_DB!$A$2:$F$14,3,FALSE),0)</f>
        <v>575</v>
      </c>
      <c r="U201">
        <f>L201*Food_DB!$C$8</f>
        <v>270</v>
      </c>
      <c r="V201">
        <f t="shared" si="12"/>
        <v>0</v>
      </c>
      <c r="W201">
        <f t="shared" si="13"/>
        <v>1662.5</v>
      </c>
      <c r="X201">
        <f>D201*Food_DB!$D$2+E201/100*Food_DB!$D$3+F201/30*Food_DB!$D$4+G201*Food_DB!$D$5+H201/100*Food_DB!$D$6+I201/100*Food_DB!$D$7+IFERROR(K201/100*VLOOKUP(J201,Food_DB!$A$2:$F$14,4,FALSE),0)+L201*Food_DB!$D$8</f>
        <v>87.999999999999986</v>
      </c>
      <c r="Y201">
        <f>D201*Food_DB!$E$2+E201/100*Food_DB!$E$3+F201/30*Food_DB!$E$4+G201*Food_DB!$E$5+H201/100*Food_DB!$E$6+I201/100*Food_DB!$E$7+IFERROR(K201/100*VLOOKUP(J201,Food_DB!$A$2:$F$14,5,FALSE),0)+L201*Food_DB!$E$8</f>
        <v>68.599999999999994</v>
      </c>
      <c r="Z201">
        <f>D201*Food_DB!$F$2+E201/100*Food_DB!$F$3+F201/30*Food_DB!$F$4+G201*Food_DB!$F$5+H201/100*Food_DB!$F$6+I201/100*Food_DB!$F$7+IFERROR(K201/100*VLOOKUP(J201,Food_DB!$A$2:$F$14,6,FALSE),0)+L201*Food_DB!$F$8</f>
        <v>178.15</v>
      </c>
      <c r="AA201">
        <v>6.5</v>
      </c>
      <c r="AB201">
        <v>30</v>
      </c>
      <c r="AC201">
        <v>0</v>
      </c>
      <c r="AD201">
        <v>0</v>
      </c>
      <c r="AE201">
        <f>Dashboard!$B$6*AA201+Dashboard!$B$6*4*AB201/60+Dashboard!$B$6*8*AC201/120+Dashboard!$B$6*7*AD201</f>
        <v>680</v>
      </c>
      <c r="AF201">
        <f>Dashboard!$B$5</f>
        <v>1700</v>
      </c>
      <c r="AG201">
        <f t="shared" si="14"/>
        <v>2720</v>
      </c>
      <c r="AH201">
        <f t="shared" si="15"/>
        <v>-1057.5</v>
      </c>
    </row>
    <row r="202" spans="1:34">
      <c r="A202">
        <v>46378</v>
      </c>
      <c r="B202" t="s">
        <v>91</v>
      </c>
      <c r="C202" t="s">
        <v>89</v>
      </c>
      <c r="D202">
        <v>2</v>
      </c>
      <c r="E202">
        <v>400</v>
      </c>
      <c r="F202">
        <v>30</v>
      </c>
      <c r="G202">
        <v>1</v>
      </c>
      <c r="H202">
        <v>150</v>
      </c>
      <c r="I202">
        <v>250</v>
      </c>
      <c r="J202" t="s">
        <v>82</v>
      </c>
      <c r="K202">
        <v>250</v>
      </c>
      <c r="L202">
        <v>3</v>
      </c>
      <c r="M202">
        <v>0</v>
      </c>
      <c r="N202">
        <f>D202*Food_DB!$C$2</f>
        <v>150</v>
      </c>
      <c r="O202">
        <f>E202/100*Food_DB!$C$3</f>
        <v>260</v>
      </c>
      <c r="P202">
        <f>F202/30*Food_DB!$C$4</f>
        <v>111</v>
      </c>
      <c r="Q202">
        <f>G202*Food_DB!$C$5</f>
        <v>222</v>
      </c>
      <c r="R202">
        <f>H202/100*Food_DB!$C$6</f>
        <v>12</v>
      </c>
      <c r="S202">
        <f>I202/100*Food_DB!$C$7</f>
        <v>62.5</v>
      </c>
      <c r="T202">
        <f>IFERROR(K202/100*VLOOKUP(J202,Food_DB!$A$2:$F$14,3,FALSE),0)</f>
        <v>550</v>
      </c>
      <c r="U202">
        <f>L202*Food_DB!$C$8</f>
        <v>270</v>
      </c>
      <c r="V202">
        <f t="shared" si="12"/>
        <v>0</v>
      </c>
      <c r="W202">
        <f t="shared" si="13"/>
        <v>1637.5</v>
      </c>
      <c r="X202">
        <f>D202*Food_DB!$D$2+E202/100*Food_DB!$D$3+F202/30*Food_DB!$D$4+G202*Food_DB!$D$5+H202/100*Food_DB!$D$6+I202/100*Food_DB!$D$7+IFERROR(K202/100*VLOOKUP(J202,Food_DB!$A$2:$F$14,4,FALSE),0)+L202*Food_DB!$D$8</f>
        <v>92.999999999999986</v>
      </c>
      <c r="Y202">
        <f>D202*Food_DB!$E$2+E202/100*Food_DB!$E$3+F202/30*Food_DB!$E$4+G202*Food_DB!$E$5+H202/100*Food_DB!$E$6+I202/100*Food_DB!$E$7+IFERROR(K202/100*VLOOKUP(J202,Food_DB!$A$2:$F$14,5,FALSE),0)+L202*Food_DB!$E$8</f>
        <v>63.6</v>
      </c>
      <c r="Z202">
        <f>D202*Food_DB!$F$2+E202/100*Food_DB!$F$3+F202/30*Food_DB!$F$4+G202*Food_DB!$F$5+H202/100*Food_DB!$F$6+I202/100*Food_DB!$F$7+IFERROR(K202/100*VLOOKUP(J202,Food_DB!$A$2:$F$14,6,FALSE),0)+L202*Food_DB!$F$8</f>
        <v>178.15</v>
      </c>
      <c r="AA202">
        <v>6.5</v>
      </c>
      <c r="AB202">
        <v>30</v>
      </c>
      <c r="AC202">
        <v>0</v>
      </c>
      <c r="AD202">
        <v>0</v>
      </c>
      <c r="AE202">
        <f>Dashboard!$B$6*AA202+Dashboard!$B$6*4*AB202/60+Dashboard!$B$6*8*AC202/120+Dashboard!$B$6*7*AD202</f>
        <v>680</v>
      </c>
      <c r="AF202">
        <f>Dashboard!$B$5</f>
        <v>1700</v>
      </c>
      <c r="AG202">
        <f t="shared" si="14"/>
        <v>2720</v>
      </c>
      <c r="AH202">
        <f t="shared" si="15"/>
        <v>-1082.5</v>
      </c>
    </row>
    <row r="203" spans="1:34">
      <c r="A203">
        <v>46379</v>
      </c>
      <c r="B203" t="s">
        <v>92</v>
      </c>
      <c r="C203" t="s">
        <v>89</v>
      </c>
      <c r="D203">
        <v>2</v>
      </c>
      <c r="E203">
        <v>400</v>
      </c>
      <c r="F203">
        <v>30</v>
      </c>
      <c r="G203">
        <v>1</v>
      </c>
      <c r="H203">
        <v>150</v>
      </c>
      <c r="I203">
        <v>250</v>
      </c>
      <c r="J203" t="s">
        <v>85</v>
      </c>
      <c r="K203">
        <v>250</v>
      </c>
      <c r="L203">
        <v>3</v>
      </c>
      <c r="M203">
        <v>0</v>
      </c>
      <c r="N203">
        <f>D203*Food_DB!$C$2</f>
        <v>150</v>
      </c>
      <c r="O203">
        <f>E203/100*Food_DB!$C$3</f>
        <v>260</v>
      </c>
      <c r="P203">
        <f>F203/30*Food_DB!$C$4</f>
        <v>111</v>
      </c>
      <c r="Q203">
        <f>G203*Food_DB!$C$5</f>
        <v>222</v>
      </c>
      <c r="R203">
        <f>H203/100*Food_DB!$C$6</f>
        <v>12</v>
      </c>
      <c r="S203">
        <f>I203/100*Food_DB!$C$7</f>
        <v>62.5</v>
      </c>
      <c r="T203">
        <f>IFERROR(K203/100*VLOOKUP(J203,Food_DB!$A$2:$F$14,3,FALSE),0)</f>
        <v>450</v>
      </c>
      <c r="U203">
        <f>L203*Food_DB!$C$8</f>
        <v>270</v>
      </c>
      <c r="V203">
        <f t="shared" si="12"/>
        <v>0</v>
      </c>
      <c r="W203">
        <f t="shared" si="13"/>
        <v>1537.5</v>
      </c>
      <c r="X203">
        <f>D203*Food_DB!$D$2+E203/100*Food_DB!$D$3+F203/30*Food_DB!$D$4+G203*Food_DB!$D$5+H203/100*Food_DB!$D$6+I203/100*Food_DB!$D$7+IFERROR(K203/100*VLOOKUP(J203,Food_DB!$A$2:$F$14,4,FALSE),0)+L203*Food_DB!$D$8</f>
        <v>92.999999999999986</v>
      </c>
      <c r="Y203">
        <f>D203*Food_DB!$E$2+E203/100*Food_DB!$E$3+F203/30*Food_DB!$E$4+G203*Food_DB!$E$5+H203/100*Food_DB!$E$6+I203/100*Food_DB!$E$7+IFERROR(K203/100*VLOOKUP(J203,Food_DB!$A$2:$F$14,5,FALSE),0)+L203*Food_DB!$E$8</f>
        <v>51.1</v>
      </c>
      <c r="Z203">
        <f>D203*Food_DB!$F$2+E203/100*Food_DB!$F$3+F203/30*Food_DB!$F$4+G203*Food_DB!$F$5+H203/100*Food_DB!$F$6+I203/100*Food_DB!$F$7+IFERROR(K203/100*VLOOKUP(J203,Food_DB!$A$2:$F$14,6,FALSE),0)+L203*Food_DB!$F$8</f>
        <v>178.15</v>
      </c>
      <c r="AA203">
        <v>6.5</v>
      </c>
      <c r="AB203">
        <v>30</v>
      </c>
      <c r="AC203">
        <v>0</v>
      </c>
      <c r="AD203">
        <v>0</v>
      </c>
      <c r="AE203">
        <f>Dashboard!$B$6*AA203+Dashboard!$B$6*4*AB203/60+Dashboard!$B$6*8*AC203/120+Dashboard!$B$6*7*AD203</f>
        <v>680</v>
      </c>
      <c r="AF203">
        <f>Dashboard!$B$5</f>
        <v>1700</v>
      </c>
      <c r="AG203">
        <f t="shared" si="14"/>
        <v>2720</v>
      </c>
      <c r="AH203">
        <f t="shared" si="15"/>
        <v>-1182.5</v>
      </c>
    </row>
    <row r="204" spans="1:34">
      <c r="A204">
        <v>46380</v>
      </c>
      <c r="B204" t="s">
        <v>93</v>
      </c>
      <c r="C204" t="s">
        <v>89</v>
      </c>
      <c r="D204">
        <v>2</v>
      </c>
      <c r="E204">
        <v>400</v>
      </c>
      <c r="F204">
        <v>30</v>
      </c>
      <c r="G204">
        <v>1</v>
      </c>
      <c r="H204">
        <v>150</v>
      </c>
      <c r="I204">
        <v>250</v>
      </c>
      <c r="J204" t="s">
        <v>87</v>
      </c>
      <c r="K204">
        <v>250</v>
      </c>
      <c r="L204">
        <v>3</v>
      </c>
      <c r="M204">
        <v>0</v>
      </c>
      <c r="N204">
        <f>D204*Food_DB!$C$2</f>
        <v>150</v>
      </c>
      <c r="O204">
        <f>E204/100*Food_DB!$C$3</f>
        <v>260</v>
      </c>
      <c r="P204">
        <f>F204/30*Food_DB!$C$4</f>
        <v>111</v>
      </c>
      <c r="Q204">
        <f>G204*Food_DB!$C$5</f>
        <v>222</v>
      </c>
      <c r="R204">
        <f>H204/100*Food_DB!$C$6</f>
        <v>12</v>
      </c>
      <c r="S204">
        <f>I204/100*Food_DB!$C$7</f>
        <v>62.5</v>
      </c>
      <c r="T204">
        <f>IFERROR(K204/100*VLOOKUP(J204,Food_DB!$A$2:$F$14,3,FALSE),0)</f>
        <v>300</v>
      </c>
      <c r="U204">
        <f>L204*Food_DB!$C$8</f>
        <v>270</v>
      </c>
      <c r="V204">
        <f t="shared" si="12"/>
        <v>0</v>
      </c>
      <c r="W204">
        <f t="shared" si="13"/>
        <v>1387.5</v>
      </c>
      <c r="X204">
        <f>D204*Food_DB!$D$2+E204/100*Food_DB!$D$3+F204/30*Food_DB!$D$4+G204*Food_DB!$D$5+H204/100*Food_DB!$D$6+I204/100*Food_DB!$D$7+IFERROR(K204/100*VLOOKUP(J204,Food_DB!$A$2:$F$14,4,FALSE),0)+L204*Food_DB!$D$8</f>
        <v>100.49999999999999</v>
      </c>
      <c r="Y204">
        <f>D204*Food_DB!$E$2+E204/100*Food_DB!$E$3+F204/30*Food_DB!$E$4+G204*Food_DB!$E$5+H204/100*Food_DB!$E$6+I204/100*Food_DB!$E$7+IFERROR(K204/100*VLOOKUP(J204,Food_DB!$A$2:$F$14,5,FALSE),0)+L204*Food_DB!$E$8</f>
        <v>32.35</v>
      </c>
      <c r="Z204">
        <f>D204*Food_DB!$F$2+E204/100*Food_DB!$F$3+F204/30*Food_DB!$F$4+G204*Food_DB!$F$5+H204/100*Food_DB!$F$6+I204/100*Food_DB!$F$7+IFERROR(K204/100*VLOOKUP(J204,Food_DB!$A$2:$F$14,6,FALSE),0)+L204*Food_DB!$F$8</f>
        <v>178.15</v>
      </c>
      <c r="AA204">
        <v>6.5</v>
      </c>
      <c r="AB204">
        <v>30</v>
      </c>
      <c r="AC204">
        <v>0</v>
      </c>
      <c r="AD204">
        <v>0</v>
      </c>
      <c r="AE204">
        <f>Dashboard!$B$6*AA204+Dashboard!$B$6*4*AB204/60+Dashboard!$B$6*8*AC204/120+Dashboard!$B$6*7*AD204</f>
        <v>680</v>
      </c>
      <c r="AF204">
        <f>Dashboard!$B$5</f>
        <v>1700</v>
      </c>
      <c r="AG204">
        <f t="shared" si="14"/>
        <v>2720</v>
      </c>
      <c r="AH204">
        <f t="shared" si="15"/>
        <v>-1332.5</v>
      </c>
    </row>
    <row r="205" spans="1:34">
      <c r="A205">
        <v>46381</v>
      </c>
      <c r="B205" t="s">
        <v>80</v>
      </c>
      <c r="C205" t="s">
        <v>81</v>
      </c>
      <c r="D205">
        <v>2</v>
      </c>
      <c r="E205">
        <v>400</v>
      </c>
      <c r="F205">
        <v>30</v>
      </c>
      <c r="G205">
        <v>1</v>
      </c>
      <c r="H205">
        <v>150</v>
      </c>
      <c r="I205">
        <v>250</v>
      </c>
      <c r="J205" t="s">
        <v>90</v>
      </c>
      <c r="K205">
        <v>250</v>
      </c>
      <c r="L205">
        <v>3</v>
      </c>
      <c r="M205">
        <v>1000</v>
      </c>
      <c r="N205">
        <f>D205*Food_DB!$C$2</f>
        <v>150</v>
      </c>
      <c r="O205">
        <f>E205/100*Food_DB!$C$3</f>
        <v>260</v>
      </c>
      <c r="P205">
        <f>F205/30*Food_DB!$C$4</f>
        <v>111</v>
      </c>
      <c r="Q205">
        <f>G205*Food_DB!$C$5</f>
        <v>222</v>
      </c>
      <c r="R205">
        <f>H205/100*Food_DB!$C$6</f>
        <v>12</v>
      </c>
      <c r="S205">
        <f>I205/100*Food_DB!$C$7</f>
        <v>62.5</v>
      </c>
      <c r="T205">
        <f>IFERROR(K205/100*VLOOKUP(J205,Food_DB!$A$2:$F$14,3,FALSE),0)</f>
        <v>575</v>
      </c>
      <c r="U205">
        <f>L205*Food_DB!$C$8</f>
        <v>270</v>
      </c>
      <c r="V205">
        <f t="shared" si="12"/>
        <v>1000</v>
      </c>
      <c r="W205">
        <f t="shared" si="13"/>
        <v>2662.5</v>
      </c>
      <c r="X205">
        <f>D205*Food_DB!$D$2+E205/100*Food_DB!$D$3+F205/30*Food_DB!$D$4+G205*Food_DB!$D$5+H205/100*Food_DB!$D$6+I205/100*Food_DB!$D$7+IFERROR(K205/100*VLOOKUP(J205,Food_DB!$A$2:$F$14,4,FALSE),0)+L205*Food_DB!$D$8</f>
        <v>87.999999999999986</v>
      </c>
      <c r="Y205">
        <f>D205*Food_DB!$E$2+E205/100*Food_DB!$E$3+F205/30*Food_DB!$E$4+G205*Food_DB!$E$5+H205/100*Food_DB!$E$6+I205/100*Food_DB!$E$7+IFERROR(K205/100*VLOOKUP(J205,Food_DB!$A$2:$F$14,5,FALSE),0)+L205*Food_DB!$E$8</f>
        <v>68.599999999999994</v>
      </c>
      <c r="Z205">
        <f>D205*Food_DB!$F$2+E205/100*Food_DB!$F$3+F205/30*Food_DB!$F$4+G205*Food_DB!$F$5+H205/100*Food_DB!$F$6+I205/100*Food_DB!$F$7+IFERROR(K205/100*VLOOKUP(J205,Food_DB!$A$2:$F$14,6,FALSE),0)+L205*Food_DB!$F$8</f>
        <v>178.15</v>
      </c>
      <c r="AA205">
        <v>6.5</v>
      </c>
      <c r="AB205">
        <v>30</v>
      </c>
      <c r="AC205">
        <v>0</v>
      </c>
      <c r="AD205">
        <v>0</v>
      </c>
      <c r="AE205">
        <f>Dashboard!$B$6*AA205+Dashboard!$B$6*4*AB205/60+Dashboard!$B$6*8*AC205/120+Dashboard!$B$6*7*AD205</f>
        <v>680</v>
      </c>
      <c r="AF205">
        <f>Dashboard!$B$5</f>
        <v>1700</v>
      </c>
      <c r="AG205">
        <f t="shared" si="14"/>
        <v>2720</v>
      </c>
      <c r="AH205">
        <f t="shared" si="15"/>
        <v>-57.5</v>
      </c>
    </row>
    <row r="206" spans="1:34">
      <c r="A206">
        <v>46382</v>
      </c>
      <c r="B206" t="s">
        <v>83</v>
      </c>
      <c r="C206" t="s">
        <v>84</v>
      </c>
      <c r="D206">
        <v>2</v>
      </c>
      <c r="E206">
        <v>400</v>
      </c>
      <c r="F206">
        <v>30</v>
      </c>
      <c r="G206">
        <v>1</v>
      </c>
      <c r="H206">
        <v>150</v>
      </c>
      <c r="I206">
        <v>250</v>
      </c>
      <c r="J206" t="s">
        <v>82</v>
      </c>
      <c r="K206">
        <v>250</v>
      </c>
      <c r="L206">
        <v>3</v>
      </c>
      <c r="M206">
        <v>0</v>
      </c>
      <c r="N206">
        <f>D206*Food_DB!$C$2</f>
        <v>150</v>
      </c>
      <c r="O206">
        <f>E206/100*Food_DB!$C$3</f>
        <v>260</v>
      </c>
      <c r="P206">
        <f>F206/30*Food_DB!$C$4</f>
        <v>111</v>
      </c>
      <c r="Q206">
        <f>G206*Food_DB!$C$5</f>
        <v>222</v>
      </c>
      <c r="R206">
        <f>H206/100*Food_DB!$C$6</f>
        <v>12</v>
      </c>
      <c r="S206">
        <f>I206/100*Food_DB!$C$7</f>
        <v>62.5</v>
      </c>
      <c r="T206">
        <f>IFERROR(K206/100*VLOOKUP(J206,Food_DB!$A$2:$F$14,3,FALSE),0)</f>
        <v>550</v>
      </c>
      <c r="U206">
        <f>L206*Food_DB!$C$8</f>
        <v>270</v>
      </c>
      <c r="V206">
        <f t="shared" si="12"/>
        <v>0</v>
      </c>
      <c r="W206">
        <f t="shared" si="13"/>
        <v>1637.5</v>
      </c>
      <c r="X206">
        <f>D206*Food_DB!$D$2+E206/100*Food_DB!$D$3+F206/30*Food_DB!$D$4+G206*Food_DB!$D$5+H206/100*Food_DB!$D$6+I206/100*Food_DB!$D$7+IFERROR(K206/100*VLOOKUP(J206,Food_DB!$A$2:$F$14,4,FALSE),0)+L206*Food_DB!$D$8</f>
        <v>92.999999999999986</v>
      </c>
      <c r="Y206">
        <f>D206*Food_DB!$E$2+E206/100*Food_DB!$E$3+F206/30*Food_DB!$E$4+G206*Food_DB!$E$5+H206/100*Food_DB!$E$6+I206/100*Food_DB!$E$7+IFERROR(K206/100*VLOOKUP(J206,Food_DB!$A$2:$F$14,5,FALSE),0)+L206*Food_DB!$E$8</f>
        <v>63.6</v>
      </c>
      <c r="Z206">
        <f>D206*Food_DB!$F$2+E206/100*Food_DB!$F$3+F206/30*Food_DB!$F$4+G206*Food_DB!$F$5+H206/100*Food_DB!$F$6+I206/100*Food_DB!$F$7+IFERROR(K206/100*VLOOKUP(J206,Food_DB!$A$2:$F$14,6,FALSE),0)+L206*Food_DB!$F$8</f>
        <v>178.15</v>
      </c>
      <c r="AA206">
        <v>0</v>
      </c>
      <c r="AB206">
        <v>0</v>
      </c>
      <c r="AC206">
        <v>0</v>
      </c>
      <c r="AD206">
        <v>3.5</v>
      </c>
      <c r="AE206">
        <f>Dashboard!$B$6*AA206+Dashboard!$B$6*4*AB206/60+Dashboard!$B$6*8*AC206/120+Dashboard!$B$6*7*AD206</f>
        <v>1960</v>
      </c>
      <c r="AF206">
        <f>Dashboard!$B$5</f>
        <v>1700</v>
      </c>
      <c r="AG206">
        <f t="shared" si="14"/>
        <v>4000</v>
      </c>
      <c r="AH206">
        <f t="shared" si="15"/>
        <v>-2362.5</v>
      </c>
    </row>
    <row r="207" spans="1:34">
      <c r="A207">
        <v>46383</v>
      </c>
      <c r="B207" t="s">
        <v>86</v>
      </c>
      <c r="C207" t="s">
        <v>84</v>
      </c>
      <c r="D207">
        <v>2</v>
      </c>
      <c r="E207">
        <v>400</v>
      </c>
      <c r="F207">
        <v>30</v>
      </c>
      <c r="G207">
        <v>1</v>
      </c>
      <c r="H207">
        <v>150</v>
      </c>
      <c r="I207">
        <v>250</v>
      </c>
      <c r="J207" t="s">
        <v>85</v>
      </c>
      <c r="K207">
        <v>250</v>
      </c>
      <c r="L207">
        <v>3</v>
      </c>
      <c r="M207">
        <v>0</v>
      </c>
      <c r="N207">
        <f>D207*Food_DB!$C$2</f>
        <v>150</v>
      </c>
      <c r="O207">
        <f>E207/100*Food_DB!$C$3</f>
        <v>260</v>
      </c>
      <c r="P207">
        <f>F207/30*Food_DB!$C$4</f>
        <v>111</v>
      </c>
      <c r="Q207">
        <f>G207*Food_DB!$C$5</f>
        <v>222</v>
      </c>
      <c r="R207">
        <f>H207/100*Food_DB!$C$6</f>
        <v>12</v>
      </c>
      <c r="S207">
        <f>I207/100*Food_DB!$C$7</f>
        <v>62.5</v>
      </c>
      <c r="T207">
        <f>IFERROR(K207/100*VLOOKUP(J207,Food_DB!$A$2:$F$14,3,FALSE),0)</f>
        <v>450</v>
      </c>
      <c r="U207">
        <f>L207*Food_DB!$C$8</f>
        <v>270</v>
      </c>
      <c r="V207">
        <f t="shared" si="12"/>
        <v>0</v>
      </c>
      <c r="W207">
        <f t="shared" si="13"/>
        <v>1537.5</v>
      </c>
      <c r="X207">
        <f>D207*Food_DB!$D$2+E207/100*Food_DB!$D$3+F207/30*Food_DB!$D$4+G207*Food_DB!$D$5+H207/100*Food_DB!$D$6+I207/100*Food_DB!$D$7+IFERROR(K207/100*VLOOKUP(J207,Food_DB!$A$2:$F$14,4,FALSE),0)+L207*Food_DB!$D$8</f>
        <v>92.999999999999986</v>
      </c>
      <c r="Y207">
        <f>D207*Food_DB!$E$2+E207/100*Food_DB!$E$3+F207/30*Food_DB!$E$4+G207*Food_DB!$E$5+H207/100*Food_DB!$E$6+I207/100*Food_DB!$E$7+IFERROR(K207/100*VLOOKUP(J207,Food_DB!$A$2:$F$14,5,FALSE),0)+L207*Food_DB!$E$8</f>
        <v>51.1</v>
      </c>
      <c r="Z207">
        <f>D207*Food_DB!$F$2+E207/100*Food_DB!$F$3+F207/30*Food_DB!$F$4+G207*Food_DB!$F$5+H207/100*Food_DB!$F$6+I207/100*Food_DB!$F$7+IFERROR(K207/100*VLOOKUP(J207,Food_DB!$A$2:$F$14,6,FALSE),0)+L207*Food_DB!$F$8</f>
        <v>178.15</v>
      </c>
      <c r="AA207">
        <v>0</v>
      </c>
      <c r="AB207">
        <v>0</v>
      </c>
      <c r="AC207">
        <v>0</v>
      </c>
      <c r="AD207">
        <v>3.5</v>
      </c>
      <c r="AE207">
        <f>Dashboard!$B$6*AA207+Dashboard!$B$6*4*AB207/60+Dashboard!$B$6*8*AC207/120+Dashboard!$B$6*7*AD207</f>
        <v>1960</v>
      </c>
      <c r="AF207">
        <f>Dashboard!$B$5</f>
        <v>1700</v>
      </c>
      <c r="AG207">
        <f t="shared" si="14"/>
        <v>4000</v>
      </c>
      <c r="AH207">
        <f t="shared" si="15"/>
        <v>-2462.5</v>
      </c>
    </row>
    <row r="208" spans="1:34">
      <c r="A208">
        <v>46384</v>
      </c>
      <c r="B208" t="s">
        <v>88</v>
      </c>
      <c r="C208" t="s">
        <v>89</v>
      </c>
      <c r="D208">
        <v>2</v>
      </c>
      <c r="E208">
        <v>400</v>
      </c>
      <c r="F208">
        <v>30</v>
      </c>
      <c r="G208">
        <v>1</v>
      </c>
      <c r="H208">
        <v>150</v>
      </c>
      <c r="I208">
        <v>250</v>
      </c>
      <c r="J208" t="s">
        <v>87</v>
      </c>
      <c r="K208">
        <v>250</v>
      </c>
      <c r="L208">
        <v>3</v>
      </c>
      <c r="M208">
        <v>0</v>
      </c>
      <c r="N208">
        <f>D208*Food_DB!$C$2</f>
        <v>150</v>
      </c>
      <c r="O208">
        <f>E208/100*Food_DB!$C$3</f>
        <v>260</v>
      </c>
      <c r="P208">
        <f>F208/30*Food_DB!$C$4</f>
        <v>111</v>
      </c>
      <c r="Q208">
        <f>G208*Food_DB!$C$5</f>
        <v>222</v>
      </c>
      <c r="R208">
        <f>H208/100*Food_DB!$C$6</f>
        <v>12</v>
      </c>
      <c r="S208">
        <f>I208/100*Food_DB!$C$7</f>
        <v>62.5</v>
      </c>
      <c r="T208">
        <f>IFERROR(K208/100*VLOOKUP(J208,Food_DB!$A$2:$F$14,3,FALSE),0)</f>
        <v>300</v>
      </c>
      <c r="U208">
        <f>L208*Food_DB!$C$8</f>
        <v>270</v>
      </c>
      <c r="V208">
        <f t="shared" si="12"/>
        <v>0</v>
      </c>
      <c r="W208">
        <f t="shared" si="13"/>
        <v>1387.5</v>
      </c>
      <c r="X208">
        <f>D208*Food_DB!$D$2+E208/100*Food_DB!$D$3+F208/30*Food_DB!$D$4+G208*Food_DB!$D$5+H208/100*Food_DB!$D$6+I208/100*Food_DB!$D$7+IFERROR(K208/100*VLOOKUP(J208,Food_DB!$A$2:$F$14,4,FALSE),0)+L208*Food_DB!$D$8</f>
        <v>100.49999999999999</v>
      </c>
      <c r="Y208">
        <f>D208*Food_DB!$E$2+E208/100*Food_DB!$E$3+F208/30*Food_DB!$E$4+G208*Food_DB!$E$5+H208/100*Food_DB!$E$6+I208/100*Food_DB!$E$7+IFERROR(K208/100*VLOOKUP(J208,Food_DB!$A$2:$F$14,5,FALSE),0)+L208*Food_DB!$E$8</f>
        <v>32.35</v>
      </c>
      <c r="Z208">
        <f>D208*Food_DB!$F$2+E208/100*Food_DB!$F$3+F208/30*Food_DB!$F$4+G208*Food_DB!$F$5+H208/100*Food_DB!$F$6+I208/100*Food_DB!$F$7+IFERROR(K208/100*VLOOKUP(J208,Food_DB!$A$2:$F$14,6,FALSE),0)+L208*Food_DB!$F$8</f>
        <v>178.15</v>
      </c>
      <c r="AA208">
        <v>6.5</v>
      </c>
      <c r="AB208">
        <v>30</v>
      </c>
      <c r="AC208">
        <v>0</v>
      </c>
      <c r="AD208">
        <v>0</v>
      </c>
      <c r="AE208">
        <f>Dashboard!$B$6*AA208+Dashboard!$B$6*4*AB208/60+Dashboard!$B$6*8*AC208/120+Dashboard!$B$6*7*AD208</f>
        <v>680</v>
      </c>
      <c r="AF208">
        <f>Dashboard!$B$5</f>
        <v>1700</v>
      </c>
      <c r="AG208">
        <f t="shared" si="14"/>
        <v>2720</v>
      </c>
      <c r="AH208">
        <f t="shared" si="15"/>
        <v>-1332.5</v>
      </c>
    </row>
    <row r="209" spans="1:34">
      <c r="A209">
        <v>46385</v>
      </c>
      <c r="B209" t="s">
        <v>91</v>
      </c>
      <c r="C209" t="s">
        <v>89</v>
      </c>
      <c r="D209">
        <v>2</v>
      </c>
      <c r="E209">
        <v>400</v>
      </c>
      <c r="F209">
        <v>30</v>
      </c>
      <c r="G209">
        <v>1</v>
      </c>
      <c r="H209">
        <v>150</v>
      </c>
      <c r="I209">
        <v>250</v>
      </c>
      <c r="J209" t="s">
        <v>90</v>
      </c>
      <c r="K209">
        <v>250</v>
      </c>
      <c r="L209">
        <v>3</v>
      </c>
      <c r="M209">
        <v>0</v>
      </c>
      <c r="N209">
        <f>D209*Food_DB!$C$2</f>
        <v>150</v>
      </c>
      <c r="O209">
        <f>E209/100*Food_DB!$C$3</f>
        <v>260</v>
      </c>
      <c r="P209">
        <f>F209/30*Food_DB!$C$4</f>
        <v>111</v>
      </c>
      <c r="Q209">
        <f>G209*Food_DB!$C$5</f>
        <v>222</v>
      </c>
      <c r="R209">
        <f>H209/100*Food_DB!$C$6</f>
        <v>12</v>
      </c>
      <c r="S209">
        <f>I209/100*Food_DB!$C$7</f>
        <v>62.5</v>
      </c>
      <c r="T209">
        <f>IFERROR(K209/100*VLOOKUP(J209,Food_DB!$A$2:$F$14,3,FALSE),0)</f>
        <v>575</v>
      </c>
      <c r="U209">
        <f>L209*Food_DB!$C$8</f>
        <v>270</v>
      </c>
      <c r="V209">
        <f t="shared" si="12"/>
        <v>0</v>
      </c>
      <c r="W209">
        <f t="shared" si="13"/>
        <v>1662.5</v>
      </c>
      <c r="X209">
        <f>D209*Food_DB!$D$2+E209/100*Food_DB!$D$3+F209/30*Food_DB!$D$4+G209*Food_DB!$D$5+H209/100*Food_DB!$D$6+I209/100*Food_DB!$D$7+IFERROR(K209/100*VLOOKUP(J209,Food_DB!$A$2:$F$14,4,FALSE),0)+L209*Food_DB!$D$8</f>
        <v>87.999999999999986</v>
      </c>
      <c r="Y209">
        <f>D209*Food_DB!$E$2+E209/100*Food_DB!$E$3+F209/30*Food_DB!$E$4+G209*Food_DB!$E$5+H209/100*Food_DB!$E$6+I209/100*Food_DB!$E$7+IFERROR(K209/100*VLOOKUP(J209,Food_DB!$A$2:$F$14,5,FALSE),0)+L209*Food_DB!$E$8</f>
        <v>68.599999999999994</v>
      </c>
      <c r="Z209">
        <f>D209*Food_DB!$F$2+E209/100*Food_DB!$F$3+F209/30*Food_DB!$F$4+G209*Food_DB!$F$5+H209/100*Food_DB!$F$6+I209/100*Food_DB!$F$7+IFERROR(K209/100*VLOOKUP(J209,Food_DB!$A$2:$F$14,6,FALSE),0)+L209*Food_DB!$F$8</f>
        <v>178.15</v>
      </c>
      <c r="AA209">
        <v>6.5</v>
      </c>
      <c r="AB209">
        <v>30</v>
      </c>
      <c r="AC209">
        <v>0</v>
      </c>
      <c r="AD209">
        <v>0</v>
      </c>
      <c r="AE209">
        <f>Dashboard!$B$6*AA209+Dashboard!$B$6*4*AB209/60+Dashboard!$B$6*8*AC209/120+Dashboard!$B$6*7*AD209</f>
        <v>680</v>
      </c>
      <c r="AF209">
        <f>Dashboard!$B$5</f>
        <v>1700</v>
      </c>
      <c r="AG209">
        <f t="shared" si="14"/>
        <v>2720</v>
      </c>
      <c r="AH209">
        <f t="shared" si="15"/>
        <v>-1057.5</v>
      </c>
    </row>
    <row r="210" spans="1:34">
      <c r="A210">
        <v>46386</v>
      </c>
      <c r="B210" t="s">
        <v>92</v>
      </c>
      <c r="C210" t="s">
        <v>89</v>
      </c>
      <c r="D210">
        <v>2</v>
      </c>
      <c r="E210">
        <v>400</v>
      </c>
      <c r="F210">
        <v>30</v>
      </c>
      <c r="G210">
        <v>1</v>
      </c>
      <c r="H210">
        <v>150</v>
      </c>
      <c r="I210">
        <v>250</v>
      </c>
      <c r="J210" t="s">
        <v>82</v>
      </c>
      <c r="K210">
        <v>250</v>
      </c>
      <c r="L210">
        <v>3</v>
      </c>
      <c r="M210">
        <v>0</v>
      </c>
      <c r="N210">
        <f>D210*Food_DB!$C$2</f>
        <v>150</v>
      </c>
      <c r="O210">
        <f>E210/100*Food_DB!$C$3</f>
        <v>260</v>
      </c>
      <c r="P210">
        <f>F210/30*Food_DB!$C$4</f>
        <v>111</v>
      </c>
      <c r="Q210">
        <f>G210*Food_DB!$C$5</f>
        <v>222</v>
      </c>
      <c r="R210">
        <f>H210/100*Food_DB!$C$6</f>
        <v>12</v>
      </c>
      <c r="S210">
        <f>I210/100*Food_DB!$C$7</f>
        <v>62.5</v>
      </c>
      <c r="T210">
        <f>IFERROR(K210/100*VLOOKUP(J210,Food_DB!$A$2:$F$14,3,FALSE),0)</f>
        <v>550</v>
      </c>
      <c r="U210">
        <f>L210*Food_DB!$C$8</f>
        <v>270</v>
      </c>
      <c r="V210">
        <f t="shared" si="12"/>
        <v>0</v>
      </c>
      <c r="W210">
        <f t="shared" si="13"/>
        <v>1637.5</v>
      </c>
      <c r="X210">
        <f>D210*Food_DB!$D$2+E210/100*Food_DB!$D$3+F210/30*Food_DB!$D$4+G210*Food_DB!$D$5+H210/100*Food_DB!$D$6+I210/100*Food_DB!$D$7+IFERROR(K210/100*VLOOKUP(J210,Food_DB!$A$2:$F$14,4,FALSE),0)+L210*Food_DB!$D$8</f>
        <v>92.999999999999986</v>
      </c>
      <c r="Y210">
        <f>D210*Food_DB!$E$2+E210/100*Food_DB!$E$3+F210/30*Food_DB!$E$4+G210*Food_DB!$E$5+H210/100*Food_DB!$E$6+I210/100*Food_DB!$E$7+IFERROR(K210/100*VLOOKUP(J210,Food_DB!$A$2:$F$14,5,FALSE),0)+L210*Food_DB!$E$8</f>
        <v>63.6</v>
      </c>
      <c r="Z210">
        <f>D210*Food_DB!$F$2+E210/100*Food_DB!$F$3+F210/30*Food_DB!$F$4+G210*Food_DB!$F$5+H210/100*Food_DB!$F$6+I210/100*Food_DB!$F$7+IFERROR(K210/100*VLOOKUP(J210,Food_DB!$A$2:$F$14,6,FALSE),0)+L210*Food_DB!$F$8</f>
        <v>178.15</v>
      </c>
      <c r="AA210">
        <v>6.5</v>
      </c>
      <c r="AB210">
        <v>30</v>
      </c>
      <c r="AC210">
        <v>0</v>
      </c>
      <c r="AD210">
        <v>0</v>
      </c>
      <c r="AE210">
        <f>Dashboard!$B$6*AA210+Dashboard!$B$6*4*AB210/60+Dashboard!$B$6*8*AC210/120+Dashboard!$B$6*7*AD210</f>
        <v>680</v>
      </c>
      <c r="AF210">
        <f>Dashboard!$B$5</f>
        <v>1700</v>
      </c>
      <c r="AG210">
        <f t="shared" si="14"/>
        <v>2720</v>
      </c>
      <c r="AH210">
        <f t="shared" si="15"/>
        <v>-1082.5</v>
      </c>
    </row>
    <row r="211" spans="1:34">
      <c r="A211">
        <v>46387</v>
      </c>
      <c r="B211" t="s">
        <v>93</v>
      </c>
      <c r="C211" t="s">
        <v>89</v>
      </c>
      <c r="D211">
        <v>2</v>
      </c>
      <c r="E211">
        <v>400</v>
      </c>
      <c r="F211">
        <v>30</v>
      </c>
      <c r="G211">
        <v>1</v>
      </c>
      <c r="H211">
        <v>150</v>
      </c>
      <c r="I211">
        <v>250</v>
      </c>
      <c r="J211" t="s">
        <v>85</v>
      </c>
      <c r="K211">
        <v>250</v>
      </c>
      <c r="L211">
        <v>3</v>
      </c>
      <c r="M211">
        <v>0</v>
      </c>
      <c r="N211">
        <f>D211*Food_DB!$C$2</f>
        <v>150</v>
      </c>
      <c r="O211">
        <f>E211/100*Food_DB!$C$3</f>
        <v>260</v>
      </c>
      <c r="P211">
        <f>F211/30*Food_DB!$C$4</f>
        <v>111</v>
      </c>
      <c r="Q211">
        <f>G211*Food_DB!$C$5</f>
        <v>222</v>
      </c>
      <c r="R211">
        <f>H211/100*Food_DB!$C$6</f>
        <v>12</v>
      </c>
      <c r="S211">
        <f>I211/100*Food_DB!$C$7</f>
        <v>62.5</v>
      </c>
      <c r="T211">
        <f>IFERROR(K211/100*VLOOKUP(J211,Food_DB!$A$2:$F$14,3,FALSE),0)</f>
        <v>450</v>
      </c>
      <c r="U211">
        <f>L211*Food_DB!$C$8</f>
        <v>270</v>
      </c>
      <c r="V211">
        <f t="shared" si="12"/>
        <v>0</v>
      </c>
      <c r="W211">
        <f t="shared" si="13"/>
        <v>1537.5</v>
      </c>
      <c r="X211">
        <f>D211*Food_DB!$D$2+E211/100*Food_DB!$D$3+F211/30*Food_DB!$D$4+G211*Food_DB!$D$5+H211/100*Food_DB!$D$6+I211/100*Food_DB!$D$7+IFERROR(K211/100*VLOOKUP(J211,Food_DB!$A$2:$F$14,4,FALSE),0)+L211*Food_DB!$D$8</f>
        <v>92.999999999999986</v>
      </c>
      <c r="Y211">
        <f>D211*Food_DB!$E$2+E211/100*Food_DB!$E$3+F211/30*Food_DB!$E$4+G211*Food_DB!$E$5+H211/100*Food_DB!$E$6+I211/100*Food_DB!$E$7+IFERROR(K211/100*VLOOKUP(J211,Food_DB!$A$2:$F$14,5,FALSE),0)+L211*Food_DB!$E$8</f>
        <v>51.1</v>
      </c>
      <c r="Z211">
        <f>D211*Food_DB!$F$2+E211/100*Food_DB!$F$3+F211/30*Food_DB!$F$4+G211*Food_DB!$F$5+H211/100*Food_DB!$F$6+I211/100*Food_DB!$F$7+IFERROR(K211/100*VLOOKUP(J211,Food_DB!$A$2:$F$14,6,FALSE),0)+L211*Food_DB!$F$8</f>
        <v>178.15</v>
      </c>
      <c r="AA211">
        <v>6.5</v>
      </c>
      <c r="AB211">
        <v>30</v>
      </c>
      <c r="AC211">
        <v>0</v>
      </c>
      <c r="AD211">
        <v>0</v>
      </c>
      <c r="AE211">
        <f>Dashboard!$B$6*AA211+Dashboard!$B$6*4*AB211/60+Dashboard!$B$6*8*AC211/120+Dashboard!$B$6*7*AD211</f>
        <v>680</v>
      </c>
      <c r="AF211">
        <f>Dashboard!$B$5</f>
        <v>1700</v>
      </c>
      <c r="AG211">
        <f t="shared" si="14"/>
        <v>2720</v>
      </c>
      <c r="AH211">
        <f t="shared" si="15"/>
        <v>-1182.5</v>
      </c>
    </row>
    <row r="212" spans="1:34">
      <c r="A212">
        <v>46388</v>
      </c>
      <c r="B212" t="s">
        <v>80</v>
      </c>
      <c r="C212" t="s">
        <v>81</v>
      </c>
      <c r="D212">
        <v>2</v>
      </c>
      <c r="E212">
        <v>400</v>
      </c>
      <c r="F212">
        <v>30</v>
      </c>
      <c r="G212">
        <v>1</v>
      </c>
      <c r="H212">
        <v>150</v>
      </c>
      <c r="I212">
        <v>250</v>
      </c>
      <c r="J212" t="s">
        <v>87</v>
      </c>
      <c r="K212">
        <v>250</v>
      </c>
      <c r="L212">
        <v>3</v>
      </c>
      <c r="M212">
        <v>1000</v>
      </c>
      <c r="N212">
        <f>D212*Food_DB!$C$2</f>
        <v>150</v>
      </c>
      <c r="O212">
        <f>E212/100*Food_DB!$C$3</f>
        <v>260</v>
      </c>
      <c r="P212">
        <f>F212/30*Food_DB!$C$4</f>
        <v>111</v>
      </c>
      <c r="Q212">
        <f>G212*Food_DB!$C$5</f>
        <v>222</v>
      </c>
      <c r="R212">
        <f>H212/100*Food_DB!$C$6</f>
        <v>12</v>
      </c>
      <c r="S212">
        <f>I212/100*Food_DB!$C$7</f>
        <v>62.5</v>
      </c>
      <c r="T212">
        <f>IFERROR(K212/100*VLOOKUP(J212,Food_DB!$A$2:$F$14,3,FALSE),0)</f>
        <v>300</v>
      </c>
      <c r="U212">
        <f>L212*Food_DB!$C$8</f>
        <v>270</v>
      </c>
      <c r="V212">
        <f t="shared" si="12"/>
        <v>1000</v>
      </c>
      <c r="W212">
        <f t="shared" si="13"/>
        <v>2387.5</v>
      </c>
      <c r="X212">
        <f>D212*Food_DB!$D$2+E212/100*Food_DB!$D$3+F212/30*Food_DB!$D$4+G212*Food_DB!$D$5+H212/100*Food_DB!$D$6+I212/100*Food_DB!$D$7+IFERROR(K212/100*VLOOKUP(J212,Food_DB!$A$2:$F$14,4,FALSE),0)+L212*Food_DB!$D$8</f>
        <v>100.49999999999999</v>
      </c>
      <c r="Y212">
        <f>D212*Food_DB!$E$2+E212/100*Food_DB!$E$3+F212/30*Food_DB!$E$4+G212*Food_DB!$E$5+H212/100*Food_DB!$E$6+I212/100*Food_DB!$E$7+IFERROR(K212/100*VLOOKUP(J212,Food_DB!$A$2:$F$14,5,FALSE),0)+L212*Food_DB!$E$8</f>
        <v>32.35</v>
      </c>
      <c r="Z212">
        <f>D212*Food_DB!$F$2+E212/100*Food_DB!$F$3+F212/30*Food_DB!$F$4+G212*Food_DB!$F$5+H212/100*Food_DB!$F$6+I212/100*Food_DB!$F$7+IFERROR(K212/100*VLOOKUP(J212,Food_DB!$A$2:$F$14,6,FALSE),0)+L212*Food_DB!$F$8</f>
        <v>178.15</v>
      </c>
      <c r="AA212">
        <v>6.5</v>
      </c>
      <c r="AB212">
        <v>30</v>
      </c>
      <c r="AC212">
        <v>0</v>
      </c>
      <c r="AD212">
        <v>0</v>
      </c>
      <c r="AE212">
        <f>Dashboard!$B$6*AA212+Dashboard!$B$6*4*AB212/60+Dashboard!$B$6*8*AC212/120+Dashboard!$B$6*7*AD212</f>
        <v>680</v>
      </c>
      <c r="AF212">
        <f>Dashboard!$B$5</f>
        <v>1700</v>
      </c>
      <c r="AG212">
        <f t="shared" si="14"/>
        <v>2720</v>
      </c>
      <c r="AH212">
        <f t="shared" si="15"/>
        <v>-332.5</v>
      </c>
    </row>
    <row r="213" spans="1:34">
      <c r="A213">
        <v>46389</v>
      </c>
      <c r="B213" t="s">
        <v>83</v>
      </c>
      <c r="C213" t="s">
        <v>84</v>
      </c>
      <c r="D213">
        <v>2</v>
      </c>
      <c r="E213">
        <v>400</v>
      </c>
      <c r="F213">
        <v>30</v>
      </c>
      <c r="G213">
        <v>1</v>
      </c>
      <c r="H213">
        <v>150</v>
      </c>
      <c r="I213">
        <v>250</v>
      </c>
      <c r="J213" t="s">
        <v>90</v>
      </c>
      <c r="K213">
        <v>250</v>
      </c>
      <c r="L213">
        <v>3</v>
      </c>
      <c r="M213">
        <v>0</v>
      </c>
      <c r="N213">
        <f>D213*Food_DB!$C$2</f>
        <v>150</v>
      </c>
      <c r="O213">
        <f>E213/100*Food_DB!$C$3</f>
        <v>260</v>
      </c>
      <c r="P213">
        <f>F213/30*Food_DB!$C$4</f>
        <v>111</v>
      </c>
      <c r="Q213">
        <f>G213*Food_DB!$C$5</f>
        <v>222</v>
      </c>
      <c r="R213">
        <f>H213/100*Food_DB!$C$6</f>
        <v>12</v>
      </c>
      <c r="S213">
        <f>I213/100*Food_DB!$C$7</f>
        <v>62.5</v>
      </c>
      <c r="T213">
        <f>IFERROR(K213/100*VLOOKUP(J213,Food_DB!$A$2:$F$14,3,FALSE),0)</f>
        <v>575</v>
      </c>
      <c r="U213">
        <f>L213*Food_DB!$C$8</f>
        <v>270</v>
      </c>
      <c r="V213">
        <f t="shared" si="12"/>
        <v>0</v>
      </c>
      <c r="W213">
        <f t="shared" si="13"/>
        <v>1662.5</v>
      </c>
      <c r="X213">
        <f>D213*Food_DB!$D$2+E213/100*Food_DB!$D$3+F213/30*Food_DB!$D$4+G213*Food_DB!$D$5+H213/100*Food_DB!$D$6+I213/100*Food_DB!$D$7+IFERROR(K213/100*VLOOKUP(J213,Food_DB!$A$2:$F$14,4,FALSE),0)+L213*Food_DB!$D$8</f>
        <v>87.999999999999986</v>
      </c>
      <c r="Y213">
        <f>D213*Food_DB!$E$2+E213/100*Food_DB!$E$3+F213/30*Food_DB!$E$4+G213*Food_DB!$E$5+H213/100*Food_DB!$E$6+I213/100*Food_DB!$E$7+IFERROR(K213/100*VLOOKUP(J213,Food_DB!$A$2:$F$14,5,FALSE),0)+L213*Food_DB!$E$8</f>
        <v>68.599999999999994</v>
      </c>
      <c r="Z213">
        <f>D213*Food_DB!$F$2+E213/100*Food_DB!$F$3+F213/30*Food_DB!$F$4+G213*Food_DB!$F$5+H213/100*Food_DB!$F$6+I213/100*Food_DB!$F$7+IFERROR(K213/100*VLOOKUP(J213,Food_DB!$A$2:$F$14,6,FALSE),0)+L213*Food_DB!$F$8</f>
        <v>178.15</v>
      </c>
      <c r="AA213">
        <v>0</v>
      </c>
      <c r="AB213">
        <v>0</v>
      </c>
      <c r="AC213">
        <v>0</v>
      </c>
      <c r="AD213">
        <v>3.5</v>
      </c>
      <c r="AE213">
        <f>Dashboard!$B$6*AA213+Dashboard!$B$6*4*AB213/60+Dashboard!$B$6*8*AC213/120+Dashboard!$B$6*7*AD213</f>
        <v>1960</v>
      </c>
      <c r="AF213">
        <f>Dashboard!$B$5</f>
        <v>1700</v>
      </c>
      <c r="AG213">
        <f t="shared" si="14"/>
        <v>4000</v>
      </c>
      <c r="AH213">
        <f t="shared" si="15"/>
        <v>-2337.5</v>
      </c>
    </row>
    <row r="214" spans="1:34">
      <c r="A214">
        <v>46390</v>
      </c>
      <c r="B214" t="s">
        <v>86</v>
      </c>
      <c r="C214" t="s">
        <v>84</v>
      </c>
      <c r="D214">
        <v>2</v>
      </c>
      <c r="E214">
        <v>400</v>
      </c>
      <c r="F214">
        <v>30</v>
      </c>
      <c r="G214">
        <v>1</v>
      </c>
      <c r="H214">
        <v>150</v>
      </c>
      <c r="I214">
        <v>250</v>
      </c>
      <c r="J214" t="s">
        <v>82</v>
      </c>
      <c r="K214">
        <v>250</v>
      </c>
      <c r="L214">
        <v>3</v>
      </c>
      <c r="M214">
        <v>0</v>
      </c>
      <c r="N214">
        <f>D214*Food_DB!$C$2</f>
        <v>150</v>
      </c>
      <c r="O214">
        <f>E214/100*Food_DB!$C$3</f>
        <v>260</v>
      </c>
      <c r="P214">
        <f>F214/30*Food_DB!$C$4</f>
        <v>111</v>
      </c>
      <c r="Q214">
        <f>G214*Food_DB!$C$5</f>
        <v>222</v>
      </c>
      <c r="R214">
        <f>H214/100*Food_DB!$C$6</f>
        <v>12</v>
      </c>
      <c r="S214">
        <f>I214/100*Food_DB!$C$7</f>
        <v>62.5</v>
      </c>
      <c r="T214">
        <f>IFERROR(K214/100*VLOOKUP(J214,Food_DB!$A$2:$F$14,3,FALSE),0)</f>
        <v>550</v>
      </c>
      <c r="U214">
        <f>L214*Food_DB!$C$8</f>
        <v>270</v>
      </c>
      <c r="V214">
        <f t="shared" si="12"/>
        <v>0</v>
      </c>
      <c r="W214">
        <f t="shared" si="13"/>
        <v>1637.5</v>
      </c>
      <c r="X214">
        <f>D214*Food_DB!$D$2+E214/100*Food_DB!$D$3+F214/30*Food_DB!$D$4+G214*Food_DB!$D$5+H214/100*Food_DB!$D$6+I214/100*Food_DB!$D$7+IFERROR(K214/100*VLOOKUP(J214,Food_DB!$A$2:$F$14,4,FALSE),0)+L214*Food_DB!$D$8</f>
        <v>92.999999999999986</v>
      </c>
      <c r="Y214">
        <f>D214*Food_DB!$E$2+E214/100*Food_DB!$E$3+F214/30*Food_DB!$E$4+G214*Food_DB!$E$5+H214/100*Food_DB!$E$6+I214/100*Food_DB!$E$7+IFERROR(K214/100*VLOOKUP(J214,Food_DB!$A$2:$F$14,5,FALSE),0)+L214*Food_DB!$E$8</f>
        <v>63.6</v>
      </c>
      <c r="Z214">
        <f>D214*Food_DB!$F$2+E214/100*Food_DB!$F$3+F214/30*Food_DB!$F$4+G214*Food_DB!$F$5+H214/100*Food_DB!$F$6+I214/100*Food_DB!$F$7+IFERROR(K214/100*VLOOKUP(J214,Food_DB!$A$2:$F$14,6,FALSE),0)+L214*Food_DB!$F$8</f>
        <v>178.15</v>
      </c>
      <c r="AA214">
        <v>0</v>
      </c>
      <c r="AB214">
        <v>0</v>
      </c>
      <c r="AC214">
        <v>0</v>
      </c>
      <c r="AD214">
        <v>3.5</v>
      </c>
      <c r="AE214">
        <f>Dashboard!$B$6*AA214+Dashboard!$B$6*4*AB214/60+Dashboard!$B$6*8*AC214/120+Dashboard!$B$6*7*AD214</f>
        <v>1960</v>
      </c>
      <c r="AF214">
        <f>Dashboard!$B$5</f>
        <v>1700</v>
      </c>
      <c r="AG214">
        <f t="shared" si="14"/>
        <v>4000</v>
      </c>
      <c r="AH214">
        <f t="shared" si="15"/>
        <v>-2362.5</v>
      </c>
    </row>
    <row r="215" spans="1:34">
      <c r="A215">
        <v>46391</v>
      </c>
      <c r="B215" t="s">
        <v>88</v>
      </c>
      <c r="C215" t="s">
        <v>89</v>
      </c>
      <c r="D215">
        <v>2</v>
      </c>
      <c r="E215">
        <v>400</v>
      </c>
      <c r="F215">
        <v>30</v>
      </c>
      <c r="G215">
        <v>1</v>
      </c>
      <c r="H215">
        <v>150</v>
      </c>
      <c r="I215">
        <v>250</v>
      </c>
      <c r="J215" t="s">
        <v>85</v>
      </c>
      <c r="K215">
        <v>250</v>
      </c>
      <c r="L215">
        <v>3</v>
      </c>
      <c r="M215">
        <v>0</v>
      </c>
      <c r="N215">
        <f>D215*Food_DB!$C$2</f>
        <v>150</v>
      </c>
      <c r="O215">
        <f>E215/100*Food_DB!$C$3</f>
        <v>260</v>
      </c>
      <c r="P215">
        <f>F215/30*Food_DB!$C$4</f>
        <v>111</v>
      </c>
      <c r="Q215">
        <f>G215*Food_DB!$C$5</f>
        <v>222</v>
      </c>
      <c r="R215">
        <f>H215/100*Food_DB!$C$6</f>
        <v>12</v>
      </c>
      <c r="S215">
        <f>I215/100*Food_DB!$C$7</f>
        <v>62.5</v>
      </c>
      <c r="T215">
        <f>IFERROR(K215/100*VLOOKUP(J215,Food_DB!$A$2:$F$14,3,FALSE),0)</f>
        <v>450</v>
      </c>
      <c r="U215">
        <f>L215*Food_DB!$C$8</f>
        <v>270</v>
      </c>
      <c r="V215">
        <f t="shared" si="12"/>
        <v>0</v>
      </c>
      <c r="W215">
        <f t="shared" si="13"/>
        <v>1537.5</v>
      </c>
      <c r="X215">
        <f>D215*Food_DB!$D$2+E215/100*Food_DB!$D$3+F215/30*Food_DB!$D$4+G215*Food_DB!$D$5+H215/100*Food_DB!$D$6+I215/100*Food_DB!$D$7+IFERROR(K215/100*VLOOKUP(J215,Food_DB!$A$2:$F$14,4,FALSE),0)+L215*Food_DB!$D$8</f>
        <v>92.999999999999986</v>
      </c>
      <c r="Y215">
        <f>D215*Food_DB!$E$2+E215/100*Food_DB!$E$3+F215/30*Food_DB!$E$4+G215*Food_DB!$E$5+H215/100*Food_DB!$E$6+I215/100*Food_DB!$E$7+IFERROR(K215/100*VLOOKUP(J215,Food_DB!$A$2:$F$14,5,FALSE),0)+L215*Food_DB!$E$8</f>
        <v>51.1</v>
      </c>
      <c r="Z215">
        <f>D215*Food_DB!$F$2+E215/100*Food_DB!$F$3+F215/30*Food_DB!$F$4+G215*Food_DB!$F$5+H215/100*Food_DB!$F$6+I215/100*Food_DB!$F$7+IFERROR(K215/100*VLOOKUP(J215,Food_DB!$A$2:$F$14,6,FALSE),0)+L215*Food_DB!$F$8</f>
        <v>178.15</v>
      </c>
      <c r="AA215">
        <v>6.5</v>
      </c>
      <c r="AB215">
        <v>30</v>
      </c>
      <c r="AC215">
        <v>0</v>
      </c>
      <c r="AD215">
        <v>0</v>
      </c>
      <c r="AE215">
        <f>Dashboard!$B$6*AA215+Dashboard!$B$6*4*AB215/60+Dashboard!$B$6*8*AC215/120+Dashboard!$B$6*7*AD215</f>
        <v>680</v>
      </c>
      <c r="AF215">
        <f>Dashboard!$B$5</f>
        <v>1700</v>
      </c>
      <c r="AG215">
        <f t="shared" si="14"/>
        <v>2720</v>
      </c>
      <c r="AH215">
        <f t="shared" si="15"/>
        <v>-1182.5</v>
      </c>
    </row>
    <row r="216" spans="1:34">
      <c r="A216">
        <v>46392</v>
      </c>
      <c r="B216" t="s">
        <v>91</v>
      </c>
      <c r="C216" t="s">
        <v>89</v>
      </c>
      <c r="D216">
        <v>2</v>
      </c>
      <c r="E216">
        <v>400</v>
      </c>
      <c r="F216">
        <v>30</v>
      </c>
      <c r="G216">
        <v>1</v>
      </c>
      <c r="H216">
        <v>150</v>
      </c>
      <c r="I216">
        <v>250</v>
      </c>
      <c r="J216" t="s">
        <v>87</v>
      </c>
      <c r="K216">
        <v>250</v>
      </c>
      <c r="L216">
        <v>3</v>
      </c>
      <c r="M216">
        <v>0</v>
      </c>
      <c r="N216">
        <f>D216*Food_DB!$C$2</f>
        <v>150</v>
      </c>
      <c r="O216">
        <f>E216/100*Food_DB!$C$3</f>
        <v>260</v>
      </c>
      <c r="P216">
        <f>F216/30*Food_DB!$C$4</f>
        <v>111</v>
      </c>
      <c r="Q216">
        <f>G216*Food_DB!$C$5</f>
        <v>222</v>
      </c>
      <c r="R216">
        <f>H216/100*Food_DB!$C$6</f>
        <v>12</v>
      </c>
      <c r="S216">
        <f>I216/100*Food_DB!$C$7</f>
        <v>62.5</v>
      </c>
      <c r="T216">
        <f>IFERROR(K216/100*VLOOKUP(J216,Food_DB!$A$2:$F$14,3,FALSE),0)</f>
        <v>300</v>
      </c>
      <c r="U216">
        <f>L216*Food_DB!$C$8</f>
        <v>270</v>
      </c>
      <c r="V216">
        <f t="shared" si="12"/>
        <v>0</v>
      </c>
      <c r="W216">
        <f t="shared" si="13"/>
        <v>1387.5</v>
      </c>
      <c r="X216">
        <f>D216*Food_DB!$D$2+E216/100*Food_DB!$D$3+F216/30*Food_DB!$D$4+G216*Food_DB!$D$5+H216/100*Food_DB!$D$6+I216/100*Food_DB!$D$7+IFERROR(K216/100*VLOOKUP(J216,Food_DB!$A$2:$F$14,4,FALSE),0)+L216*Food_DB!$D$8</f>
        <v>100.49999999999999</v>
      </c>
      <c r="Y216">
        <f>D216*Food_DB!$E$2+E216/100*Food_DB!$E$3+F216/30*Food_DB!$E$4+G216*Food_DB!$E$5+H216/100*Food_DB!$E$6+I216/100*Food_DB!$E$7+IFERROR(K216/100*VLOOKUP(J216,Food_DB!$A$2:$F$14,5,FALSE),0)+L216*Food_DB!$E$8</f>
        <v>32.35</v>
      </c>
      <c r="Z216">
        <f>D216*Food_DB!$F$2+E216/100*Food_DB!$F$3+F216/30*Food_DB!$F$4+G216*Food_DB!$F$5+H216/100*Food_DB!$F$6+I216/100*Food_DB!$F$7+IFERROR(K216/100*VLOOKUP(J216,Food_DB!$A$2:$F$14,6,FALSE),0)+L216*Food_DB!$F$8</f>
        <v>178.15</v>
      </c>
      <c r="AA216">
        <v>6.5</v>
      </c>
      <c r="AB216">
        <v>30</v>
      </c>
      <c r="AC216">
        <v>0</v>
      </c>
      <c r="AD216">
        <v>0</v>
      </c>
      <c r="AE216">
        <f>Dashboard!$B$6*AA216+Dashboard!$B$6*4*AB216/60+Dashboard!$B$6*8*AC216/120+Dashboard!$B$6*7*AD216</f>
        <v>680</v>
      </c>
      <c r="AF216">
        <f>Dashboard!$B$5</f>
        <v>1700</v>
      </c>
      <c r="AG216">
        <f t="shared" si="14"/>
        <v>2720</v>
      </c>
      <c r="AH216">
        <f t="shared" si="15"/>
        <v>-1332.5</v>
      </c>
    </row>
    <row r="217" spans="1:34">
      <c r="A217">
        <v>46393</v>
      </c>
      <c r="B217" t="s">
        <v>92</v>
      </c>
      <c r="C217" t="s">
        <v>89</v>
      </c>
      <c r="D217">
        <v>2</v>
      </c>
      <c r="E217">
        <v>400</v>
      </c>
      <c r="F217">
        <v>30</v>
      </c>
      <c r="G217">
        <v>1</v>
      </c>
      <c r="H217">
        <v>150</v>
      </c>
      <c r="I217">
        <v>250</v>
      </c>
      <c r="J217" t="s">
        <v>90</v>
      </c>
      <c r="K217">
        <v>250</v>
      </c>
      <c r="L217">
        <v>3</v>
      </c>
      <c r="M217">
        <v>0</v>
      </c>
      <c r="N217">
        <f>D217*Food_DB!$C$2</f>
        <v>150</v>
      </c>
      <c r="O217">
        <f>E217/100*Food_DB!$C$3</f>
        <v>260</v>
      </c>
      <c r="P217">
        <f>F217/30*Food_DB!$C$4</f>
        <v>111</v>
      </c>
      <c r="Q217">
        <f>G217*Food_DB!$C$5</f>
        <v>222</v>
      </c>
      <c r="R217">
        <f>H217/100*Food_DB!$C$6</f>
        <v>12</v>
      </c>
      <c r="S217">
        <f>I217/100*Food_DB!$C$7</f>
        <v>62.5</v>
      </c>
      <c r="T217">
        <f>IFERROR(K217/100*VLOOKUP(J217,Food_DB!$A$2:$F$14,3,FALSE),0)</f>
        <v>575</v>
      </c>
      <c r="U217">
        <f>L217*Food_DB!$C$8</f>
        <v>270</v>
      </c>
      <c r="V217">
        <f t="shared" si="12"/>
        <v>0</v>
      </c>
      <c r="W217">
        <f t="shared" si="13"/>
        <v>1662.5</v>
      </c>
      <c r="X217">
        <f>D217*Food_DB!$D$2+E217/100*Food_DB!$D$3+F217/30*Food_DB!$D$4+G217*Food_DB!$D$5+H217/100*Food_DB!$D$6+I217/100*Food_DB!$D$7+IFERROR(K217/100*VLOOKUP(J217,Food_DB!$A$2:$F$14,4,FALSE),0)+L217*Food_DB!$D$8</f>
        <v>87.999999999999986</v>
      </c>
      <c r="Y217">
        <f>D217*Food_DB!$E$2+E217/100*Food_DB!$E$3+F217/30*Food_DB!$E$4+G217*Food_DB!$E$5+H217/100*Food_DB!$E$6+I217/100*Food_DB!$E$7+IFERROR(K217/100*VLOOKUP(J217,Food_DB!$A$2:$F$14,5,FALSE),0)+L217*Food_DB!$E$8</f>
        <v>68.599999999999994</v>
      </c>
      <c r="Z217">
        <f>D217*Food_DB!$F$2+E217/100*Food_DB!$F$3+F217/30*Food_DB!$F$4+G217*Food_DB!$F$5+H217/100*Food_DB!$F$6+I217/100*Food_DB!$F$7+IFERROR(K217/100*VLOOKUP(J217,Food_DB!$A$2:$F$14,6,FALSE),0)+L217*Food_DB!$F$8</f>
        <v>178.15</v>
      </c>
      <c r="AA217">
        <v>6.5</v>
      </c>
      <c r="AB217">
        <v>30</v>
      </c>
      <c r="AC217">
        <v>0</v>
      </c>
      <c r="AD217">
        <v>0</v>
      </c>
      <c r="AE217">
        <f>Dashboard!$B$6*AA217+Dashboard!$B$6*4*AB217/60+Dashboard!$B$6*8*AC217/120+Dashboard!$B$6*7*AD217</f>
        <v>680</v>
      </c>
      <c r="AF217">
        <f>Dashboard!$B$5</f>
        <v>1700</v>
      </c>
      <c r="AG217">
        <f t="shared" si="14"/>
        <v>2720</v>
      </c>
      <c r="AH217">
        <f t="shared" si="15"/>
        <v>-1057.5</v>
      </c>
    </row>
    <row r="218" spans="1:34">
      <c r="A218">
        <v>46394</v>
      </c>
      <c r="B218" t="s">
        <v>93</v>
      </c>
      <c r="C218" t="s">
        <v>89</v>
      </c>
      <c r="D218">
        <v>2</v>
      </c>
      <c r="E218">
        <v>400</v>
      </c>
      <c r="F218">
        <v>30</v>
      </c>
      <c r="G218">
        <v>1</v>
      </c>
      <c r="H218">
        <v>150</v>
      </c>
      <c r="I218">
        <v>250</v>
      </c>
      <c r="J218" t="s">
        <v>82</v>
      </c>
      <c r="K218">
        <v>250</v>
      </c>
      <c r="L218">
        <v>3</v>
      </c>
      <c r="M218">
        <v>0</v>
      </c>
      <c r="N218">
        <f>D218*Food_DB!$C$2</f>
        <v>150</v>
      </c>
      <c r="O218">
        <f>E218/100*Food_DB!$C$3</f>
        <v>260</v>
      </c>
      <c r="P218">
        <f>F218/30*Food_DB!$C$4</f>
        <v>111</v>
      </c>
      <c r="Q218">
        <f>G218*Food_DB!$C$5</f>
        <v>222</v>
      </c>
      <c r="R218">
        <f>H218/100*Food_DB!$C$6</f>
        <v>12</v>
      </c>
      <c r="S218">
        <f>I218/100*Food_DB!$C$7</f>
        <v>62.5</v>
      </c>
      <c r="T218">
        <f>IFERROR(K218/100*VLOOKUP(J218,Food_DB!$A$2:$F$14,3,FALSE),0)</f>
        <v>550</v>
      </c>
      <c r="U218">
        <f>L218*Food_DB!$C$8</f>
        <v>270</v>
      </c>
      <c r="V218">
        <f t="shared" si="12"/>
        <v>0</v>
      </c>
      <c r="W218">
        <f t="shared" si="13"/>
        <v>1637.5</v>
      </c>
      <c r="X218">
        <f>D218*Food_DB!$D$2+E218/100*Food_DB!$D$3+F218/30*Food_DB!$D$4+G218*Food_DB!$D$5+H218/100*Food_DB!$D$6+I218/100*Food_DB!$D$7+IFERROR(K218/100*VLOOKUP(J218,Food_DB!$A$2:$F$14,4,FALSE),0)+L218*Food_DB!$D$8</f>
        <v>92.999999999999986</v>
      </c>
      <c r="Y218">
        <f>D218*Food_DB!$E$2+E218/100*Food_DB!$E$3+F218/30*Food_DB!$E$4+G218*Food_DB!$E$5+H218/100*Food_DB!$E$6+I218/100*Food_DB!$E$7+IFERROR(K218/100*VLOOKUP(J218,Food_DB!$A$2:$F$14,5,FALSE),0)+L218*Food_DB!$E$8</f>
        <v>63.6</v>
      </c>
      <c r="Z218">
        <f>D218*Food_DB!$F$2+E218/100*Food_DB!$F$3+F218/30*Food_DB!$F$4+G218*Food_DB!$F$5+H218/100*Food_DB!$F$6+I218/100*Food_DB!$F$7+IFERROR(K218/100*VLOOKUP(J218,Food_DB!$A$2:$F$14,6,FALSE),0)+L218*Food_DB!$F$8</f>
        <v>178.15</v>
      </c>
      <c r="AA218">
        <v>6.5</v>
      </c>
      <c r="AB218">
        <v>30</v>
      </c>
      <c r="AC218">
        <v>0</v>
      </c>
      <c r="AD218">
        <v>0</v>
      </c>
      <c r="AE218">
        <f>Dashboard!$B$6*AA218+Dashboard!$B$6*4*AB218/60+Dashboard!$B$6*8*AC218/120+Dashboard!$B$6*7*AD218</f>
        <v>680</v>
      </c>
      <c r="AF218">
        <f>Dashboard!$B$5</f>
        <v>1700</v>
      </c>
      <c r="AG218">
        <f t="shared" si="14"/>
        <v>2720</v>
      </c>
      <c r="AH218">
        <f t="shared" si="15"/>
        <v>-1082.5</v>
      </c>
    </row>
    <row r="219" spans="1:34">
      <c r="A219">
        <v>46395</v>
      </c>
      <c r="B219" t="s">
        <v>80</v>
      </c>
      <c r="C219" t="s">
        <v>81</v>
      </c>
      <c r="D219">
        <v>2</v>
      </c>
      <c r="E219">
        <v>400</v>
      </c>
      <c r="F219">
        <v>30</v>
      </c>
      <c r="G219">
        <v>1</v>
      </c>
      <c r="H219">
        <v>150</v>
      </c>
      <c r="I219">
        <v>250</v>
      </c>
      <c r="J219" t="s">
        <v>85</v>
      </c>
      <c r="K219">
        <v>250</v>
      </c>
      <c r="L219">
        <v>3</v>
      </c>
      <c r="M219">
        <v>1000</v>
      </c>
      <c r="N219">
        <f>D219*Food_DB!$C$2</f>
        <v>150</v>
      </c>
      <c r="O219">
        <f>E219/100*Food_DB!$C$3</f>
        <v>260</v>
      </c>
      <c r="P219">
        <f>F219/30*Food_DB!$C$4</f>
        <v>111</v>
      </c>
      <c r="Q219">
        <f>G219*Food_DB!$C$5</f>
        <v>222</v>
      </c>
      <c r="R219">
        <f>H219/100*Food_DB!$C$6</f>
        <v>12</v>
      </c>
      <c r="S219">
        <f>I219/100*Food_DB!$C$7</f>
        <v>62.5</v>
      </c>
      <c r="T219">
        <f>IFERROR(K219/100*VLOOKUP(J219,Food_DB!$A$2:$F$14,3,FALSE),0)</f>
        <v>450</v>
      </c>
      <c r="U219">
        <f>L219*Food_DB!$C$8</f>
        <v>270</v>
      </c>
      <c r="V219">
        <f t="shared" si="12"/>
        <v>1000</v>
      </c>
      <c r="W219">
        <f t="shared" si="13"/>
        <v>2537.5</v>
      </c>
      <c r="X219">
        <f>D219*Food_DB!$D$2+E219/100*Food_DB!$D$3+F219/30*Food_DB!$D$4+G219*Food_DB!$D$5+H219/100*Food_DB!$D$6+I219/100*Food_DB!$D$7+IFERROR(K219/100*VLOOKUP(J219,Food_DB!$A$2:$F$14,4,FALSE),0)+L219*Food_DB!$D$8</f>
        <v>92.999999999999986</v>
      </c>
      <c r="Y219">
        <f>D219*Food_DB!$E$2+E219/100*Food_DB!$E$3+F219/30*Food_DB!$E$4+G219*Food_DB!$E$5+H219/100*Food_DB!$E$6+I219/100*Food_DB!$E$7+IFERROR(K219/100*VLOOKUP(J219,Food_DB!$A$2:$F$14,5,FALSE),0)+L219*Food_DB!$E$8</f>
        <v>51.1</v>
      </c>
      <c r="Z219">
        <f>D219*Food_DB!$F$2+E219/100*Food_DB!$F$3+F219/30*Food_DB!$F$4+G219*Food_DB!$F$5+H219/100*Food_DB!$F$6+I219/100*Food_DB!$F$7+IFERROR(K219/100*VLOOKUP(J219,Food_DB!$A$2:$F$14,6,FALSE),0)+L219*Food_DB!$F$8</f>
        <v>178.15</v>
      </c>
      <c r="AA219">
        <v>6.5</v>
      </c>
      <c r="AB219">
        <v>30</v>
      </c>
      <c r="AC219">
        <v>0</v>
      </c>
      <c r="AD219">
        <v>0</v>
      </c>
      <c r="AE219">
        <f>Dashboard!$B$6*AA219+Dashboard!$B$6*4*AB219/60+Dashboard!$B$6*8*AC219/120+Dashboard!$B$6*7*AD219</f>
        <v>680</v>
      </c>
      <c r="AF219">
        <f>Dashboard!$B$5</f>
        <v>1700</v>
      </c>
      <c r="AG219">
        <f t="shared" si="14"/>
        <v>2720</v>
      </c>
      <c r="AH219">
        <f t="shared" si="15"/>
        <v>-182.5</v>
      </c>
    </row>
    <row r="220" spans="1:34">
      <c r="A220">
        <v>46396</v>
      </c>
      <c r="B220" t="s">
        <v>83</v>
      </c>
      <c r="C220" t="s">
        <v>84</v>
      </c>
      <c r="D220">
        <v>2</v>
      </c>
      <c r="E220">
        <v>400</v>
      </c>
      <c r="F220">
        <v>30</v>
      </c>
      <c r="G220">
        <v>1</v>
      </c>
      <c r="H220">
        <v>150</v>
      </c>
      <c r="I220">
        <v>250</v>
      </c>
      <c r="J220" t="s">
        <v>87</v>
      </c>
      <c r="K220">
        <v>250</v>
      </c>
      <c r="L220">
        <v>3</v>
      </c>
      <c r="M220">
        <v>0</v>
      </c>
      <c r="N220">
        <f>D220*Food_DB!$C$2</f>
        <v>150</v>
      </c>
      <c r="O220">
        <f>E220/100*Food_DB!$C$3</f>
        <v>260</v>
      </c>
      <c r="P220">
        <f>F220/30*Food_DB!$C$4</f>
        <v>111</v>
      </c>
      <c r="Q220">
        <f>G220*Food_DB!$C$5</f>
        <v>222</v>
      </c>
      <c r="R220">
        <f>H220/100*Food_DB!$C$6</f>
        <v>12</v>
      </c>
      <c r="S220">
        <f>I220/100*Food_DB!$C$7</f>
        <v>62.5</v>
      </c>
      <c r="T220">
        <f>IFERROR(K220/100*VLOOKUP(J220,Food_DB!$A$2:$F$14,3,FALSE),0)</f>
        <v>300</v>
      </c>
      <c r="U220">
        <f>L220*Food_DB!$C$8</f>
        <v>270</v>
      </c>
      <c r="V220">
        <f t="shared" si="12"/>
        <v>0</v>
      </c>
      <c r="W220">
        <f t="shared" si="13"/>
        <v>1387.5</v>
      </c>
      <c r="X220">
        <f>D220*Food_DB!$D$2+E220/100*Food_DB!$D$3+F220/30*Food_DB!$D$4+G220*Food_DB!$D$5+H220/100*Food_DB!$D$6+I220/100*Food_DB!$D$7+IFERROR(K220/100*VLOOKUP(J220,Food_DB!$A$2:$F$14,4,FALSE),0)+L220*Food_DB!$D$8</f>
        <v>100.49999999999999</v>
      </c>
      <c r="Y220">
        <f>D220*Food_DB!$E$2+E220/100*Food_DB!$E$3+F220/30*Food_DB!$E$4+G220*Food_DB!$E$5+H220/100*Food_DB!$E$6+I220/100*Food_DB!$E$7+IFERROR(K220/100*VLOOKUP(J220,Food_DB!$A$2:$F$14,5,FALSE),0)+L220*Food_DB!$E$8</f>
        <v>32.35</v>
      </c>
      <c r="Z220">
        <f>D220*Food_DB!$F$2+E220/100*Food_DB!$F$3+F220/30*Food_DB!$F$4+G220*Food_DB!$F$5+H220/100*Food_DB!$F$6+I220/100*Food_DB!$F$7+IFERROR(K220/100*VLOOKUP(J220,Food_DB!$A$2:$F$14,6,FALSE),0)+L220*Food_DB!$F$8</f>
        <v>178.15</v>
      </c>
      <c r="AA220">
        <v>0</v>
      </c>
      <c r="AB220">
        <v>0</v>
      </c>
      <c r="AC220">
        <v>0</v>
      </c>
      <c r="AD220">
        <v>3.5</v>
      </c>
      <c r="AE220">
        <f>Dashboard!$B$6*AA220+Dashboard!$B$6*4*AB220/60+Dashboard!$B$6*8*AC220/120+Dashboard!$B$6*7*AD220</f>
        <v>1960</v>
      </c>
      <c r="AF220">
        <f>Dashboard!$B$5</f>
        <v>1700</v>
      </c>
      <c r="AG220">
        <f t="shared" si="14"/>
        <v>4000</v>
      </c>
      <c r="AH220">
        <f t="shared" si="15"/>
        <v>-2612.5</v>
      </c>
    </row>
    <row r="221" spans="1:34">
      <c r="A221">
        <v>46397</v>
      </c>
      <c r="B221" t="s">
        <v>86</v>
      </c>
      <c r="C221" t="s">
        <v>84</v>
      </c>
      <c r="D221">
        <v>2</v>
      </c>
      <c r="E221">
        <v>400</v>
      </c>
      <c r="F221">
        <v>30</v>
      </c>
      <c r="G221">
        <v>1</v>
      </c>
      <c r="H221">
        <v>150</v>
      </c>
      <c r="I221">
        <v>250</v>
      </c>
      <c r="J221" t="s">
        <v>90</v>
      </c>
      <c r="K221">
        <v>250</v>
      </c>
      <c r="L221">
        <v>3</v>
      </c>
      <c r="M221">
        <v>0</v>
      </c>
      <c r="N221">
        <f>D221*Food_DB!$C$2</f>
        <v>150</v>
      </c>
      <c r="O221">
        <f>E221/100*Food_DB!$C$3</f>
        <v>260</v>
      </c>
      <c r="P221">
        <f>F221/30*Food_DB!$C$4</f>
        <v>111</v>
      </c>
      <c r="Q221">
        <f>G221*Food_DB!$C$5</f>
        <v>222</v>
      </c>
      <c r="R221">
        <f>H221/100*Food_DB!$C$6</f>
        <v>12</v>
      </c>
      <c r="S221">
        <f>I221/100*Food_DB!$C$7</f>
        <v>62.5</v>
      </c>
      <c r="T221">
        <f>IFERROR(K221/100*VLOOKUP(J221,Food_DB!$A$2:$F$14,3,FALSE),0)</f>
        <v>575</v>
      </c>
      <c r="U221">
        <f>L221*Food_DB!$C$8</f>
        <v>270</v>
      </c>
      <c r="V221">
        <f t="shared" si="12"/>
        <v>0</v>
      </c>
      <c r="W221">
        <f t="shared" si="13"/>
        <v>1662.5</v>
      </c>
      <c r="X221">
        <f>D221*Food_DB!$D$2+E221/100*Food_DB!$D$3+F221/30*Food_DB!$D$4+G221*Food_DB!$D$5+H221/100*Food_DB!$D$6+I221/100*Food_DB!$D$7+IFERROR(K221/100*VLOOKUP(J221,Food_DB!$A$2:$F$14,4,FALSE),0)+L221*Food_DB!$D$8</f>
        <v>87.999999999999986</v>
      </c>
      <c r="Y221">
        <f>D221*Food_DB!$E$2+E221/100*Food_DB!$E$3+F221/30*Food_DB!$E$4+G221*Food_DB!$E$5+H221/100*Food_DB!$E$6+I221/100*Food_DB!$E$7+IFERROR(K221/100*VLOOKUP(J221,Food_DB!$A$2:$F$14,5,FALSE),0)+L221*Food_DB!$E$8</f>
        <v>68.599999999999994</v>
      </c>
      <c r="Z221">
        <f>D221*Food_DB!$F$2+E221/100*Food_DB!$F$3+F221/30*Food_DB!$F$4+G221*Food_DB!$F$5+H221/100*Food_DB!$F$6+I221/100*Food_DB!$F$7+IFERROR(K221/100*VLOOKUP(J221,Food_DB!$A$2:$F$14,6,FALSE),0)+L221*Food_DB!$F$8</f>
        <v>178.15</v>
      </c>
      <c r="AA221">
        <v>0</v>
      </c>
      <c r="AB221">
        <v>0</v>
      </c>
      <c r="AC221">
        <v>0</v>
      </c>
      <c r="AD221">
        <v>3.5</v>
      </c>
      <c r="AE221">
        <f>Dashboard!$B$6*AA221+Dashboard!$B$6*4*AB221/60+Dashboard!$B$6*8*AC221/120+Dashboard!$B$6*7*AD221</f>
        <v>1960</v>
      </c>
      <c r="AF221">
        <f>Dashboard!$B$5</f>
        <v>1700</v>
      </c>
      <c r="AG221">
        <f t="shared" si="14"/>
        <v>4000</v>
      </c>
      <c r="AH221">
        <f t="shared" si="15"/>
        <v>-2337.5</v>
      </c>
    </row>
    <row r="222" spans="1:34">
      <c r="A222">
        <v>46398</v>
      </c>
      <c r="B222" t="s">
        <v>88</v>
      </c>
      <c r="C222" t="s">
        <v>89</v>
      </c>
      <c r="D222">
        <v>2</v>
      </c>
      <c r="E222">
        <v>400</v>
      </c>
      <c r="F222">
        <v>30</v>
      </c>
      <c r="G222">
        <v>1</v>
      </c>
      <c r="H222">
        <v>150</v>
      </c>
      <c r="I222">
        <v>250</v>
      </c>
      <c r="J222" t="s">
        <v>82</v>
      </c>
      <c r="K222">
        <v>250</v>
      </c>
      <c r="L222">
        <v>3</v>
      </c>
      <c r="M222">
        <v>0</v>
      </c>
      <c r="N222">
        <f>D222*Food_DB!$C$2</f>
        <v>150</v>
      </c>
      <c r="O222">
        <f>E222/100*Food_DB!$C$3</f>
        <v>260</v>
      </c>
      <c r="P222">
        <f>F222/30*Food_DB!$C$4</f>
        <v>111</v>
      </c>
      <c r="Q222">
        <f>G222*Food_DB!$C$5</f>
        <v>222</v>
      </c>
      <c r="R222">
        <f>H222/100*Food_DB!$C$6</f>
        <v>12</v>
      </c>
      <c r="S222">
        <f>I222/100*Food_DB!$C$7</f>
        <v>62.5</v>
      </c>
      <c r="T222">
        <f>IFERROR(K222/100*VLOOKUP(J222,Food_DB!$A$2:$F$14,3,FALSE),0)</f>
        <v>550</v>
      </c>
      <c r="U222">
        <f>L222*Food_DB!$C$8</f>
        <v>270</v>
      </c>
      <c r="V222">
        <f t="shared" si="12"/>
        <v>0</v>
      </c>
      <c r="W222">
        <f t="shared" si="13"/>
        <v>1637.5</v>
      </c>
      <c r="X222">
        <f>D222*Food_DB!$D$2+E222/100*Food_DB!$D$3+F222/30*Food_DB!$D$4+G222*Food_DB!$D$5+H222/100*Food_DB!$D$6+I222/100*Food_DB!$D$7+IFERROR(K222/100*VLOOKUP(J222,Food_DB!$A$2:$F$14,4,FALSE),0)+L222*Food_DB!$D$8</f>
        <v>92.999999999999986</v>
      </c>
      <c r="Y222">
        <f>D222*Food_DB!$E$2+E222/100*Food_DB!$E$3+F222/30*Food_DB!$E$4+G222*Food_DB!$E$5+H222/100*Food_DB!$E$6+I222/100*Food_DB!$E$7+IFERROR(K222/100*VLOOKUP(J222,Food_DB!$A$2:$F$14,5,FALSE),0)+L222*Food_DB!$E$8</f>
        <v>63.6</v>
      </c>
      <c r="Z222">
        <f>D222*Food_DB!$F$2+E222/100*Food_DB!$F$3+F222/30*Food_DB!$F$4+G222*Food_DB!$F$5+H222/100*Food_DB!$F$6+I222/100*Food_DB!$F$7+IFERROR(K222/100*VLOOKUP(J222,Food_DB!$A$2:$F$14,6,FALSE),0)+L222*Food_DB!$F$8</f>
        <v>178.15</v>
      </c>
      <c r="AA222">
        <v>6.5</v>
      </c>
      <c r="AB222">
        <v>30</v>
      </c>
      <c r="AC222">
        <v>0</v>
      </c>
      <c r="AD222">
        <v>0</v>
      </c>
      <c r="AE222">
        <f>Dashboard!$B$6*AA222+Dashboard!$B$6*4*AB222/60+Dashboard!$B$6*8*AC222/120+Dashboard!$B$6*7*AD222</f>
        <v>680</v>
      </c>
      <c r="AF222">
        <f>Dashboard!$B$5</f>
        <v>1700</v>
      </c>
      <c r="AG222">
        <f t="shared" si="14"/>
        <v>2720</v>
      </c>
      <c r="AH222">
        <f t="shared" si="15"/>
        <v>-1082.5</v>
      </c>
    </row>
    <row r="223" spans="1:34">
      <c r="A223">
        <v>46399</v>
      </c>
      <c r="B223" t="s">
        <v>91</v>
      </c>
      <c r="C223" t="s">
        <v>89</v>
      </c>
      <c r="D223">
        <v>2</v>
      </c>
      <c r="E223">
        <v>400</v>
      </c>
      <c r="F223">
        <v>30</v>
      </c>
      <c r="G223">
        <v>1</v>
      </c>
      <c r="H223">
        <v>150</v>
      </c>
      <c r="I223">
        <v>250</v>
      </c>
      <c r="J223" t="s">
        <v>85</v>
      </c>
      <c r="K223">
        <v>250</v>
      </c>
      <c r="L223">
        <v>3</v>
      </c>
      <c r="M223">
        <v>0</v>
      </c>
      <c r="N223">
        <f>D223*Food_DB!$C$2</f>
        <v>150</v>
      </c>
      <c r="O223">
        <f>E223/100*Food_DB!$C$3</f>
        <v>260</v>
      </c>
      <c r="P223">
        <f>F223/30*Food_DB!$C$4</f>
        <v>111</v>
      </c>
      <c r="Q223">
        <f>G223*Food_DB!$C$5</f>
        <v>222</v>
      </c>
      <c r="R223">
        <f>H223/100*Food_DB!$C$6</f>
        <v>12</v>
      </c>
      <c r="S223">
        <f>I223/100*Food_DB!$C$7</f>
        <v>62.5</v>
      </c>
      <c r="T223">
        <f>IFERROR(K223/100*VLOOKUP(J223,Food_DB!$A$2:$F$14,3,FALSE),0)</f>
        <v>450</v>
      </c>
      <c r="U223">
        <f>L223*Food_DB!$C$8</f>
        <v>270</v>
      </c>
      <c r="V223">
        <f t="shared" si="12"/>
        <v>0</v>
      </c>
      <c r="W223">
        <f t="shared" si="13"/>
        <v>1537.5</v>
      </c>
      <c r="X223">
        <f>D223*Food_DB!$D$2+E223/100*Food_DB!$D$3+F223/30*Food_DB!$D$4+G223*Food_DB!$D$5+H223/100*Food_DB!$D$6+I223/100*Food_DB!$D$7+IFERROR(K223/100*VLOOKUP(J223,Food_DB!$A$2:$F$14,4,FALSE),0)+L223*Food_DB!$D$8</f>
        <v>92.999999999999986</v>
      </c>
      <c r="Y223">
        <f>D223*Food_DB!$E$2+E223/100*Food_DB!$E$3+F223/30*Food_DB!$E$4+G223*Food_DB!$E$5+H223/100*Food_DB!$E$6+I223/100*Food_DB!$E$7+IFERROR(K223/100*VLOOKUP(J223,Food_DB!$A$2:$F$14,5,FALSE),0)+L223*Food_DB!$E$8</f>
        <v>51.1</v>
      </c>
      <c r="Z223">
        <f>D223*Food_DB!$F$2+E223/100*Food_DB!$F$3+F223/30*Food_DB!$F$4+G223*Food_DB!$F$5+H223/100*Food_DB!$F$6+I223/100*Food_DB!$F$7+IFERROR(K223/100*VLOOKUP(J223,Food_DB!$A$2:$F$14,6,FALSE),0)+L223*Food_DB!$F$8</f>
        <v>178.15</v>
      </c>
      <c r="AA223">
        <v>6.5</v>
      </c>
      <c r="AB223">
        <v>30</v>
      </c>
      <c r="AC223">
        <v>0</v>
      </c>
      <c r="AD223">
        <v>0</v>
      </c>
      <c r="AE223">
        <f>Dashboard!$B$6*AA223+Dashboard!$B$6*4*AB223/60+Dashboard!$B$6*8*AC223/120+Dashboard!$B$6*7*AD223</f>
        <v>680</v>
      </c>
      <c r="AF223">
        <f>Dashboard!$B$5</f>
        <v>1700</v>
      </c>
      <c r="AG223">
        <f t="shared" si="14"/>
        <v>2720</v>
      </c>
      <c r="AH223">
        <f t="shared" si="15"/>
        <v>-1182.5</v>
      </c>
    </row>
    <row r="224" spans="1:34">
      <c r="A224">
        <v>46400</v>
      </c>
      <c r="B224" t="s">
        <v>92</v>
      </c>
      <c r="C224" t="s">
        <v>89</v>
      </c>
      <c r="D224">
        <v>2</v>
      </c>
      <c r="E224">
        <v>400</v>
      </c>
      <c r="F224">
        <v>30</v>
      </c>
      <c r="G224">
        <v>1</v>
      </c>
      <c r="H224">
        <v>150</v>
      </c>
      <c r="I224">
        <v>250</v>
      </c>
      <c r="J224" t="s">
        <v>87</v>
      </c>
      <c r="K224">
        <v>250</v>
      </c>
      <c r="L224">
        <v>3</v>
      </c>
      <c r="M224">
        <v>0</v>
      </c>
      <c r="N224">
        <f>D224*Food_DB!$C$2</f>
        <v>150</v>
      </c>
      <c r="O224">
        <f>E224/100*Food_DB!$C$3</f>
        <v>260</v>
      </c>
      <c r="P224">
        <f>F224/30*Food_DB!$C$4</f>
        <v>111</v>
      </c>
      <c r="Q224">
        <f>G224*Food_DB!$C$5</f>
        <v>222</v>
      </c>
      <c r="R224">
        <f>H224/100*Food_DB!$C$6</f>
        <v>12</v>
      </c>
      <c r="S224">
        <f>I224/100*Food_DB!$C$7</f>
        <v>62.5</v>
      </c>
      <c r="T224">
        <f>IFERROR(K224/100*VLOOKUP(J224,Food_DB!$A$2:$F$14,3,FALSE),0)</f>
        <v>300</v>
      </c>
      <c r="U224">
        <f>L224*Food_DB!$C$8</f>
        <v>270</v>
      </c>
      <c r="V224">
        <f t="shared" si="12"/>
        <v>0</v>
      </c>
      <c r="W224">
        <f t="shared" si="13"/>
        <v>1387.5</v>
      </c>
      <c r="X224">
        <f>D224*Food_DB!$D$2+E224/100*Food_DB!$D$3+F224/30*Food_DB!$D$4+G224*Food_DB!$D$5+H224/100*Food_DB!$D$6+I224/100*Food_DB!$D$7+IFERROR(K224/100*VLOOKUP(J224,Food_DB!$A$2:$F$14,4,FALSE),0)+L224*Food_DB!$D$8</f>
        <v>100.49999999999999</v>
      </c>
      <c r="Y224">
        <f>D224*Food_DB!$E$2+E224/100*Food_DB!$E$3+F224/30*Food_DB!$E$4+G224*Food_DB!$E$5+H224/100*Food_DB!$E$6+I224/100*Food_DB!$E$7+IFERROR(K224/100*VLOOKUP(J224,Food_DB!$A$2:$F$14,5,FALSE),0)+L224*Food_DB!$E$8</f>
        <v>32.35</v>
      </c>
      <c r="Z224">
        <f>D224*Food_DB!$F$2+E224/100*Food_DB!$F$3+F224/30*Food_DB!$F$4+G224*Food_DB!$F$5+H224/100*Food_DB!$F$6+I224/100*Food_DB!$F$7+IFERROR(K224/100*VLOOKUP(J224,Food_DB!$A$2:$F$14,6,FALSE),0)+L224*Food_DB!$F$8</f>
        <v>178.15</v>
      </c>
      <c r="AA224">
        <v>6.5</v>
      </c>
      <c r="AB224">
        <v>30</v>
      </c>
      <c r="AC224">
        <v>0</v>
      </c>
      <c r="AD224">
        <v>0</v>
      </c>
      <c r="AE224">
        <f>Dashboard!$B$6*AA224+Dashboard!$B$6*4*AB224/60+Dashboard!$B$6*8*AC224/120+Dashboard!$B$6*7*AD224</f>
        <v>680</v>
      </c>
      <c r="AF224">
        <f>Dashboard!$B$5</f>
        <v>1700</v>
      </c>
      <c r="AG224">
        <f t="shared" si="14"/>
        <v>2720</v>
      </c>
      <c r="AH224">
        <f t="shared" si="15"/>
        <v>-1332.5</v>
      </c>
    </row>
    <row r="225" spans="1:34">
      <c r="A225">
        <v>46401</v>
      </c>
      <c r="B225" t="s">
        <v>93</v>
      </c>
      <c r="C225" t="s">
        <v>89</v>
      </c>
      <c r="D225">
        <v>2</v>
      </c>
      <c r="E225">
        <v>400</v>
      </c>
      <c r="F225">
        <v>30</v>
      </c>
      <c r="G225">
        <v>1</v>
      </c>
      <c r="H225">
        <v>150</v>
      </c>
      <c r="I225">
        <v>250</v>
      </c>
      <c r="J225" t="s">
        <v>90</v>
      </c>
      <c r="K225">
        <v>250</v>
      </c>
      <c r="L225">
        <v>3</v>
      </c>
      <c r="M225">
        <v>0</v>
      </c>
      <c r="N225">
        <f>D225*Food_DB!$C$2</f>
        <v>150</v>
      </c>
      <c r="O225">
        <f>E225/100*Food_DB!$C$3</f>
        <v>260</v>
      </c>
      <c r="P225">
        <f>F225/30*Food_DB!$C$4</f>
        <v>111</v>
      </c>
      <c r="Q225">
        <f>G225*Food_DB!$C$5</f>
        <v>222</v>
      </c>
      <c r="R225">
        <f>H225/100*Food_DB!$C$6</f>
        <v>12</v>
      </c>
      <c r="S225">
        <f>I225/100*Food_DB!$C$7</f>
        <v>62.5</v>
      </c>
      <c r="T225">
        <f>IFERROR(K225/100*VLOOKUP(J225,Food_DB!$A$2:$F$14,3,FALSE),0)</f>
        <v>575</v>
      </c>
      <c r="U225">
        <f>L225*Food_DB!$C$8</f>
        <v>270</v>
      </c>
      <c r="V225">
        <f t="shared" si="12"/>
        <v>0</v>
      </c>
      <c r="W225">
        <f t="shared" si="13"/>
        <v>1662.5</v>
      </c>
      <c r="X225">
        <f>D225*Food_DB!$D$2+E225/100*Food_DB!$D$3+F225/30*Food_DB!$D$4+G225*Food_DB!$D$5+H225/100*Food_DB!$D$6+I225/100*Food_DB!$D$7+IFERROR(K225/100*VLOOKUP(J225,Food_DB!$A$2:$F$14,4,FALSE),0)+L225*Food_DB!$D$8</f>
        <v>87.999999999999986</v>
      </c>
      <c r="Y225">
        <f>D225*Food_DB!$E$2+E225/100*Food_DB!$E$3+F225/30*Food_DB!$E$4+G225*Food_DB!$E$5+H225/100*Food_DB!$E$6+I225/100*Food_DB!$E$7+IFERROR(K225/100*VLOOKUP(J225,Food_DB!$A$2:$F$14,5,FALSE),0)+L225*Food_DB!$E$8</f>
        <v>68.599999999999994</v>
      </c>
      <c r="Z225">
        <f>D225*Food_DB!$F$2+E225/100*Food_DB!$F$3+F225/30*Food_DB!$F$4+G225*Food_DB!$F$5+H225/100*Food_DB!$F$6+I225/100*Food_DB!$F$7+IFERROR(K225/100*VLOOKUP(J225,Food_DB!$A$2:$F$14,6,FALSE),0)+L225*Food_DB!$F$8</f>
        <v>178.15</v>
      </c>
      <c r="AA225">
        <v>6.5</v>
      </c>
      <c r="AB225">
        <v>30</v>
      </c>
      <c r="AC225">
        <v>0</v>
      </c>
      <c r="AD225">
        <v>0</v>
      </c>
      <c r="AE225">
        <f>Dashboard!$B$6*AA225+Dashboard!$B$6*4*AB225/60+Dashboard!$B$6*8*AC225/120+Dashboard!$B$6*7*AD225</f>
        <v>680</v>
      </c>
      <c r="AF225">
        <f>Dashboard!$B$5</f>
        <v>1700</v>
      </c>
      <c r="AG225">
        <f t="shared" si="14"/>
        <v>2720</v>
      </c>
      <c r="AH225">
        <f t="shared" si="15"/>
        <v>-1057.5</v>
      </c>
    </row>
    <row r="226" spans="1:34">
      <c r="A226">
        <v>46402</v>
      </c>
      <c r="B226" t="s">
        <v>80</v>
      </c>
      <c r="C226" t="s">
        <v>81</v>
      </c>
      <c r="D226">
        <v>2</v>
      </c>
      <c r="E226">
        <v>400</v>
      </c>
      <c r="F226">
        <v>30</v>
      </c>
      <c r="G226">
        <v>1</v>
      </c>
      <c r="H226">
        <v>150</v>
      </c>
      <c r="I226">
        <v>250</v>
      </c>
      <c r="J226" t="s">
        <v>82</v>
      </c>
      <c r="K226">
        <v>250</v>
      </c>
      <c r="L226">
        <v>3</v>
      </c>
      <c r="M226">
        <v>1000</v>
      </c>
      <c r="N226">
        <f>D226*Food_DB!$C$2</f>
        <v>150</v>
      </c>
      <c r="O226">
        <f>E226/100*Food_DB!$C$3</f>
        <v>260</v>
      </c>
      <c r="P226">
        <f>F226/30*Food_DB!$C$4</f>
        <v>111</v>
      </c>
      <c r="Q226">
        <f>G226*Food_DB!$C$5</f>
        <v>222</v>
      </c>
      <c r="R226">
        <f>H226/100*Food_DB!$C$6</f>
        <v>12</v>
      </c>
      <c r="S226">
        <f>I226/100*Food_DB!$C$7</f>
        <v>62.5</v>
      </c>
      <c r="T226">
        <f>IFERROR(K226/100*VLOOKUP(J226,Food_DB!$A$2:$F$14,3,FALSE),0)</f>
        <v>550</v>
      </c>
      <c r="U226">
        <f>L226*Food_DB!$C$8</f>
        <v>270</v>
      </c>
      <c r="V226">
        <f t="shared" si="12"/>
        <v>1000</v>
      </c>
      <c r="W226">
        <f t="shared" si="13"/>
        <v>2637.5</v>
      </c>
      <c r="X226">
        <f>D226*Food_DB!$D$2+E226/100*Food_DB!$D$3+F226/30*Food_DB!$D$4+G226*Food_DB!$D$5+H226/100*Food_DB!$D$6+I226/100*Food_DB!$D$7+IFERROR(K226/100*VLOOKUP(J226,Food_DB!$A$2:$F$14,4,FALSE),0)+L226*Food_DB!$D$8</f>
        <v>92.999999999999986</v>
      </c>
      <c r="Y226">
        <f>D226*Food_DB!$E$2+E226/100*Food_DB!$E$3+F226/30*Food_DB!$E$4+G226*Food_DB!$E$5+H226/100*Food_DB!$E$6+I226/100*Food_DB!$E$7+IFERROR(K226/100*VLOOKUP(J226,Food_DB!$A$2:$F$14,5,FALSE),0)+L226*Food_DB!$E$8</f>
        <v>63.6</v>
      </c>
      <c r="Z226">
        <f>D226*Food_DB!$F$2+E226/100*Food_DB!$F$3+F226/30*Food_DB!$F$4+G226*Food_DB!$F$5+H226/100*Food_DB!$F$6+I226/100*Food_DB!$F$7+IFERROR(K226/100*VLOOKUP(J226,Food_DB!$A$2:$F$14,6,FALSE),0)+L226*Food_DB!$F$8</f>
        <v>178.15</v>
      </c>
      <c r="AA226">
        <v>6.5</v>
      </c>
      <c r="AB226">
        <v>30</v>
      </c>
      <c r="AC226">
        <v>0</v>
      </c>
      <c r="AD226">
        <v>0</v>
      </c>
      <c r="AE226">
        <f>Dashboard!$B$6*AA226+Dashboard!$B$6*4*AB226/60+Dashboard!$B$6*8*AC226/120+Dashboard!$B$6*7*AD226</f>
        <v>680</v>
      </c>
      <c r="AF226">
        <f>Dashboard!$B$5</f>
        <v>1700</v>
      </c>
      <c r="AG226">
        <f t="shared" si="14"/>
        <v>2720</v>
      </c>
      <c r="AH226">
        <f t="shared" si="15"/>
        <v>-82.5</v>
      </c>
    </row>
    <row r="227" spans="1:34">
      <c r="A227">
        <v>46403</v>
      </c>
      <c r="B227" t="s">
        <v>83</v>
      </c>
      <c r="C227" t="s">
        <v>84</v>
      </c>
      <c r="D227">
        <v>2</v>
      </c>
      <c r="E227">
        <v>400</v>
      </c>
      <c r="F227">
        <v>30</v>
      </c>
      <c r="G227">
        <v>1</v>
      </c>
      <c r="H227">
        <v>150</v>
      </c>
      <c r="I227">
        <v>250</v>
      </c>
      <c r="J227" t="s">
        <v>85</v>
      </c>
      <c r="K227">
        <v>250</v>
      </c>
      <c r="L227">
        <v>3</v>
      </c>
      <c r="M227">
        <v>0</v>
      </c>
      <c r="N227">
        <f>D227*Food_DB!$C$2</f>
        <v>150</v>
      </c>
      <c r="O227">
        <f>E227/100*Food_DB!$C$3</f>
        <v>260</v>
      </c>
      <c r="P227">
        <f>F227/30*Food_DB!$C$4</f>
        <v>111</v>
      </c>
      <c r="Q227">
        <f>G227*Food_DB!$C$5</f>
        <v>222</v>
      </c>
      <c r="R227">
        <f>H227/100*Food_DB!$C$6</f>
        <v>12</v>
      </c>
      <c r="S227">
        <f>I227/100*Food_DB!$C$7</f>
        <v>62.5</v>
      </c>
      <c r="T227">
        <f>IFERROR(K227/100*VLOOKUP(J227,Food_DB!$A$2:$F$14,3,FALSE),0)</f>
        <v>450</v>
      </c>
      <c r="U227">
        <f>L227*Food_DB!$C$8</f>
        <v>270</v>
      </c>
      <c r="V227">
        <f t="shared" si="12"/>
        <v>0</v>
      </c>
      <c r="W227">
        <f t="shared" si="13"/>
        <v>1537.5</v>
      </c>
      <c r="X227">
        <f>D227*Food_DB!$D$2+E227/100*Food_DB!$D$3+F227/30*Food_DB!$D$4+G227*Food_DB!$D$5+H227/100*Food_DB!$D$6+I227/100*Food_DB!$D$7+IFERROR(K227/100*VLOOKUP(J227,Food_DB!$A$2:$F$14,4,FALSE),0)+L227*Food_DB!$D$8</f>
        <v>92.999999999999986</v>
      </c>
      <c r="Y227">
        <f>D227*Food_DB!$E$2+E227/100*Food_DB!$E$3+F227/30*Food_DB!$E$4+G227*Food_DB!$E$5+H227/100*Food_DB!$E$6+I227/100*Food_DB!$E$7+IFERROR(K227/100*VLOOKUP(J227,Food_DB!$A$2:$F$14,5,FALSE),0)+L227*Food_DB!$E$8</f>
        <v>51.1</v>
      </c>
      <c r="Z227">
        <f>D227*Food_DB!$F$2+E227/100*Food_DB!$F$3+F227/30*Food_DB!$F$4+G227*Food_DB!$F$5+H227/100*Food_DB!$F$6+I227/100*Food_DB!$F$7+IFERROR(K227/100*VLOOKUP(J227,Food_DB!$A$2:$F$14,6,FALSE),0)+L227*Food_DB!$F$8</f>
        <v>178.15</v>
      </c>
      <c r="AA227">
        <v>0</v>
      </c>
      <c r="AB227">
        <v>0</v>
      </c>
      <c r="AC227">
        <v>0</v>
      </c>
      <c r="AD227">
        <v>3.5</v>
      </c>
      <c r="AE227">
        <f>Dashboard!$B$6*AA227+Dashboard!$B$6*4*AB227/60+Dashboard!$B$6*8*AC227/120+Dashboard!$B$6*7*AD227</f>
        <v>1960</v>
      </c>
      <c r="AF227">
        <f>Dashboard!$B$5</f>
        <v>1700</v>
      </c>
      <c r="AG227">
        <f t="shared" si="14"/>
        <v>4000</v>
      </c>
      <c r="AH227">
        <f t="shared" si="15"/>
        <v>-2462.5</v>
      </c>
    </row>
    <row r="228" spans="1:34">
      <c r="A228">
        <v>46404</v>
      </c>
      <c r="B228" t="s">
        <v>86</v>
      </c>
      <c r="C228" t="s">
        <v>84</v>
      </c>
      <c r="D228">
        <v>2</v>
      </c>
      <c r="E228">
        <v>400</v>
      </c>
      <c r="F228">
        <v>30</v>
      </c>
      <c r="G228">
        <v>1</v>
      </c>
      <c r="H228">
        <v>150</v>
      </c>
      <c r="I228">
        <v>250</v>
      </c>
      <c r="J228" t="s">
        <v>87</v>
      </c>
      <c r="K228">
        <v>250</v>
      </c>
      <c r="L228">
        <v>3</v>
      </c>
      <c r="M228">
        <v>0</v>
      </c>
      <c r="N228">
        <f>D228*Food_DB!$C$2</f>
        <v>150</v>
      </c>
      <c r="O228">
        <f>E228/100*Food_DB!$C$3</f>
        <v>260</v>
      </c>
      <c r="P228">
        <f>F228/30*Food_DB!$C$4</f>
        <v>111</v>
      </c>
      <c r="Q228">
        <f>G228*Food_DB!$C$5</f>
        <v>222</v>
      </c>
      <c r="R228">
        <f>H228/100*Food_DB!$C$6</f>
        <v>12</v>
      </c>
      <c r="S228">
        <f>I228/100*Food_DB!$C$7</f>
        <v>62.5</v>
      </c>
      <c r="T228">
        <f>IFERROR(K228/100*VLOOKUP(J228,Food_DB!$A$2:$F$14,3,FALSE),0)</f>
        <v>300</v>
      </c>
      <c r="U228">
        <f>L228*Food_DB!$C$8</f>
        <v>270</v>
      </c>
      <c r="V228">
        <f t="shared" si="12"/>
        <v>0</v>
      </c>
      <c r="W228">
        <f t="shared" si="13"/>
        <v>1387.5</v>
      </c>
      <c r="X228">
        <f>D228*Food_DB!$D$2+E228/100*Food_DB!$D$3+F228/30*Food_DB!$D$4+G228*Food_DB!$D$5+H228/100*Food_DB!$D$6+I228/100*Food_DB!$D$7+IFERROR(K228/100*VLOOKUP(J228,Food_DB!$A$2:$F$14,4,FALSE),0)+L228*Food_DB!$D$8</f>
        <v>100.49999999999999</v>
      </c>
      <c r="Y228">
        <f>D228*Food_DB!$E$2+E228/100*Food_DB!$E$3+F228/30*Food_DB!$E$4+G228*Food_DB!$E$5+H228/100*Food_DB!$E$6+I228/100*Food_DB!$E$7+IFERROR(K228/100*VLOOKUP(J228,Food_DB!$A$2:$F$14,5,FALSE),0)+L228*Food_DB!$E$8</f>
        <v>32.35</v>
      </c>
      <c r="Z228">
        <f>D228*Food_DB!$F$2+E228/100*Food_DB!$F$3+F228/30*Food_DB!$F$4+G228*Food_DB!$F$5+H228/100*Food_DB!$F$6+I228/100*Food_DB!$F$7+IFERROR(K228/100*VLOOKUP(J228,Food_DB!$A$2:$F$14,6,FALSE),0)+L228*Food_DB!$F$8</f>
        <v>178.15</v>
      </c>
      <c r="AA228">
        <v>0</v>
      </c>
      <c r="AB228">
        <v>0</v>
      </c>
      <c r="AC228">
        <v>0</v>
      </c>
      <c r="AD228">
        <v>3.5</v>
      </c>
      <c r="AE228">
        <f>Dashboard!$B$6*AA228+Dashboard!$B$6*4*AB228/60+Dashboard!$B$6*8*AC228/120+Dashboard!$B$6*7*AD228</f>
        <v>1960</v>
      </c>
      <c r="AF228">
        <f>Dashboard!$B$5</f>
        <v>1700</v>
      </c>
      <c r="AG228">
        <f t="shared" si="14"/>
        <v>4000</v>
      </c>
      <c r="AH228">
        <f t="shared" si="15"/>
        <v>-2612.5</v>
      </c>
    </row>
    <row r="229" spans="1:34">
      <c r="A229">
        <v>46405</v>
      </c>
      <c r="B229" t="s">
        <v>88</v>
      </c>
      <c r="C229" t="s">
        <v>89</v>
      </c>
      <c r="D229">
        <v>2</v>
      </c>
      <c r="E229">
        <v>400</v>
      </c>
      <c r="F229">
        <v>30</v>
      </c>
      <c r="G229">
        <v>1</v>
      </c>
      <c r="H229">
        <v>150</v>
      </c>
      <c r="I229">
        <v>250</v>
      </c>
      <c r="J229" t="s">
        <v>90</v>
      </c>
      <c r="K229">
        <v>250</v>
      </c>
      <c r="L229">
        <v>3</v>
      </c>
      <c r="M229">
        <v>0</v>
      </c>
      <c r="N229">
        <f>D229*Food_DB!$C$2</f>
        <v>150</v>
      </c>
      <c r="O229">
        <f>E229/100*Food_DB!$C$3</f>
        <v>260</v>
      </c>
      <c r="P229">
        <f>F229/30*Food_DB!$C$4</f>
        <v>111</v>
      </c>
      <c r="Q229">
        <f>G229*Food_DB!$C$5</f>
        <v>222</v>
      </c>
      <c r="R229">
        <f>H229/100*Food_DB!$C$6</f>
        <v>12</v>
      </c>
      <c r="S229">
        <f>I229/100*Food_DB!$C$7</f>
        <v>62.5</v>
      </c>
      <c r="T229">
        <f>IFERROR(K229/100*VLOOKUP(J229,Food_DB!$A$2:$F$14,3,FALSE),0)</f>
        <v>575</v>
      </c>
      <c r="U229">
        <f>L229*Food_DB!$C$8</f>
        <v>270</v>
      </c>
      <c r="V229">
        <f t="shared" si="12"/>
        <v>0</v>
      </c>
      <c r="W229">
        <f t="shared" si="13"/>
        <v>1662.5</v>
      </c>
      <c r="X229">
        <f>D229*Food_DB!$D$2+E229/100*Food_DB!$D$3+F229/30*Food_DB!$D$4+G229*Food_DB!$D$5+H229/100*Food_DB!$D$6+I229/100*Food_DB!$D$7+IFERROR(K229/100*VLOOKUP(J229,Food_DB!$A$2:$F$14,4,FALSE),0)+L229*Food_DB!$D$8</f>
        <v>87.999999999999986</v>
      </c>
      <c r="Y229">
        <f>D229*Food_DB!$E$2+E229/100*Food_DB!$E$3+F229/30*Food_DB!$E$4+G229*Food_DB!$E$5+H229/100*Food_DB!$E$6+I229/100*Food_DB!$E$7+IFERROR(K229/100*VLOOKUP(J229,Food_DB!$A$2:$F$14,5,FALSE),0)+L229*Food_DB!$E$8</f>
        <v>68.599999999999994</v>
      </c>
      <c r="Z229">
        <f>D229*Food_DB!$F$2+E229/100*Food_DB!$F$3+F229/30*Food_DB!$F$4+G229*Food_DB!$F$5+H229/100*Food_DB!$F$6+I229/100*Food_DB!$F$7+IFERROR(K229/100*VLOOKUP(J229,Food_DB!$A$2:$F$14,6,FALSE),0)+L229*Food_DB!$F$8</f>
        <v>178.15</v>
      </c>
      <c r="AA229">
        <v>6.5</v>
      </c>
      <c r="AB229">
        <v>30</v>
      </c>
      <c r="AC229">
        <v>0</v>
      </c>
      <c r="AD229">
        <v>0</v>
      </c>
      <c r="AE229">
        <f>Dashboard!$B$6*AA229+Dashboard!$B$6*4*AB229/60+Dashboard!$B$6*8*AC229/120+Dashboard!$B$6*7*AD229</f>
        <v>680</v>
      </c>
      <c r="AF229">
        <f>Dashboard!$B$5</f>
        <v>1700</v>
      </c>
      <c r="AG229">
        <f t="shared" si="14"/>
        <v>2720</v>
      </c>
      <c r="AH229">
        <f t="shared" si="15"/>
        <v>-1057.5</v>
      </c>
    </row>
    <row r="230" spans="1:34">
      <c r="A230">
        <v>46406</v>
      </c>
      <c r="B230" t="s">
        <v>91</v>
      </c>
      <c r="C230" t="s">
        <v>89</v>
      </c>
      <c r="D230">
        <v>2</v>
      </c>
      <c r="E230">
        <v>400</v>
      </c>
      <c r="F230">
        <v>30</v>
      </c>
      <c r="G230">
        <v>1</v>
      </c>
      <c r="H230">
        <v>150</v>
      </c>
      <c r="I230">
        <v>250</v>
      </c>
      <c r="J230" t="s">
        <v>82</v>
      </c>
      <c r="K230">
        <v>250</v>
      </c>
      <c r="L230">
        <v>3</v>
      </c>
      <c r="M230">
        <v>0</v>
      </c>
      <c r="N230">
        <f>D230*Food_DB!$C$2</f>
        <v>150</v>
      </c>
      <c r="O230">
        <f>E230/100*Food_DB!$C$3</f>
        <v>260</v>
      </c>
      <c r="P230">
        <f>F230/30*Food_DB!$C$4</f>
        <v>111</v>
      </c>
      <c r="Q230">
        <f>G230*Food_DB!$C$5</f>
        <v>222</v>
      </c>
      <c r="R230">
        <f>H230/100*Food_DB!$C$6</f>
        <v>12</v>
      </c>
      <c r="S230">
        <f>I230/100*Food_DB!$C$7</f>
        <v>62.5</v>
      </c>
      <c r="T230">
        <f>IFERROR(K230/100*VLOOKUP(J230,Food_DB!$A$2:$F$14,3,FALSE),0)</f>
        <v>550</v>
      </c>
      <c r="U230">
        <f>L230*Food_DB!$C$8</f>
        <v>270</v>
      </c>
      <c r="V230">
        <f t="shared" si="12"/>
        <v>0</v>
      </c>
      <c r="W230">
        <f t="shared" si="13"/>
        <v>1637.5</v>
      </c>
      <c r="X230">
        <f>D230*Food_DB!$D$2+E230/100*Food_DB!$D$3+F230/30*Food_DB!$D$4+G230*Food_DB!$D$5+H230/100*Food_DB!$D$6+I230/100*Food_DB!$D$7+IFERROR(K230/100*VLOOKUP(J230,Food_DB!$A$2:$F$14,4,FALSE),0)+L230*Food_DB!$D$8</f>
        <v>92.999999999999986</v>
      </c>
      <c r="Y230">
        <f>D230*Food_DB!$E$2+E230/100*Food_DB!$E$3+F230/30*Food_DB!$E$4+G230*Food_DB!$E$5+H230/100*Food_DB!$E$6+I230/100*Food_DB!$E$7+IFERROR(K230/100*VLOOKUP(J230,Food_DB!$A$2:$F$14,5,FALSE),0)+L230*Food_DB!$E$8</f>
        <v>63.6</v>
      </c>
      <c r="Z230">
        <f>D230*Food_DB!$F$2+E230/100*Food_DB!$F$3+F230/30*Food_DB!$F$4+G230*Food_DB!$F$5+H230/100*Food_DB!$F$6+I230/100*Food_DB!$F$7+IFERROR(K230/100*VLOOKUP(J230,Food_DB!$A$2:$F$14,6,FALSE),0)+L230*Food_DB!$F$8</f>
        <v>178.15</v>
      </c>
      <c r="AA230">
        <v>6.5</v>
      </c>
      <c r="AB230">
        <v>30</v>
      </c>
      <c r="AC230">
        <v>0</v>
      </c>
      <c r="AD230">
        <v>0</v>
      </c>
      <c r="AE230">
        <f>Dashboard!$B$6*AA230+Dashboard!$B$6*4*AB230/60+Dashboard!$B$6*8*AC230/120+Dashboard!$B$6*7*AD230</f>
        <v>680</v>
      </c>
      <c r="AF230">
        <f>Dashboard!$B$5</f>
        <v>1700</v>
      </c>
      <c r="AG230">
        <f t="shared" si="14"/>
        <v>2720</v>
      </c>
      <c r="AH230">
        <f t="shared" si="15"/>
        <v>-1082.5</v>
      </c>
    </row>
    <row r="231" spans="1:34">
      <c r="A231">
        <v>46407</v>
      </c>
      <c r="B231" t="s">
        <v>92</v>
      </c>
      <c r="C231" t="s">
        <v>89</v>
      </c>
      <c r="D231">
        <v>2</v>
      </c>
      <c r="E231">
        <v>400</v>
      </c>
      <c r="F231">
        <v>30</v>
      </c>
      <c r="G231">
        <v>1</v>
      </c>
      <c r="H231">
        <v>150</v>
      </c>
      <c r="I231">
        <v>250</v>
      </c>
      <c r="J231" t="s">
        <v>85</v>
      </c>
      <c r="K231">
        <v>250</v>
      </c>
      <c r="L231">
        <v>3</v>
      </c>
      <c r="M231">
        <v>0</v>
      </c>
      <c r="N231">
        <f>D231*Food_DB!$C$2</f>
        <v>150</v>
      </c>
      <c r="O231">
        <f>E231/100*Food_DB!$C$3</f>
        <v>260</v>
      </c>
      <c r="P231">
        <f>F231/30*Food_DB!$C$4</f>
        <v>111</v>
      </c>
      <c r="Q231">
        <f>G231*Food_DB!$C$5</f>
        <v>222</v>
      </c>
      <c r="R231">
        <f>H231/100*Food_DB!$C$6</f>
        <v>12</v>
      </c>
      <c r="S231">
        <f>I231/100*Food_DB!$C$7</f>
        <v>62.5</v>
      </c>
      <c r="T231">
        <f>IFERROR(K231/100*VLOOKUP(J231,Food_DB!$A$2:$F$14,3,FALSE),0)</f>
        <v>450</v>
      </c>
      <c r="U231">
        <f>L231*Food_DB!$C$8</f>
        <v>270</v>
      </c>
      <c r="V231">
        <f t="shared" si="12"/>
        <v>0</v>
      </c>
      <c r="W231">
        <f t="shared" si="13"/>
        <v>1537.5</v>
      </c>
      <c r="X231">
        <f>D231*Food_DB!$D$2+E231/100*Food_DB!$D$3+F231/30*Food_DB!$D$4+G231*Food_DB!$D$5+H231/100*Food_DB!$D$6+I231/100*Food_DB!$D$7+IFERROR(K231/100*VLOOKUP(J231,Food_DB!$A$2:$F$14,4,FALSE),0)+L231*Food_DB!$D$8</f>
        <v>92.999999999999986</v>
      </c>
      <c r="Y231">
        <f>D231*Food_DB!$E$2+E231/100*Food_DB!$E$3+F231/30*Food_DB!$E$4+G231*Food_DB!$E$5+H231/100*Food_DB!$E$6+I231/100*Food_DB!$E$7+IFERROR(K231/100*VLOOKUP(J231,Food_DB!$A$2:$F$14,5,FALSE),0)+L231*Food_DB!$E$8</f>
        <v>51.1</v>
      </c>
      <c r="Z231">
        <f>D231*Food_DB!$F$2+E231/100*Food_DB!$F$3+F231/30*Food_DB!$F$4+G231*Food_DB!$F$5+H231/100*Food_DB!$F$6+I231/100*Food_DB!$F$7+IFERROR(K231/100*VLOOKUP(J231,Food_DB!$A$2:$F$14,6,FALSE),0)+L231*Food_DB!$F$8</f>
        <v>178.15</v>
      </c>
      <c r="AA231">
        <v>6.5</v>
      </c>
      <c r="AB231">
        <v>30</v>
      </c>
      <c r="AC231">
        <v>0</v>
      </c>
      <c r="AD231">
        <v>0</v>
      </c>
      <c r="AE231">
        <f>Dashboard!$B$6*AA231+Dashboard!$B$6*4*AB231/60+Dashboard!$B$6*8*AC231/120+Dashboard!$B$6*7*AD231</f>
        <v>680</v>
      </c>
      <c r="AF231">
        <f>Dashboard!$B$5</f>
        <v>1700</v>
      </c>
      <c r="AG231">
        <f t="shared" si="14"/>
        <v>2720</v>
      </c>
      <c r="AH231">
        <f t="shared" si="15"/>
        <v>-1182.5</v>
      </c>
    </row>
    <row r="232" spans="1:34">
      <c r="A232">
        <v>46408</v>
      </c>
      <c r="B232" t="s">
        <v>93</v>
      </c>
      <c r="C232" t="s">
        <v>89</v>
      </c>
      <c r="D232">
        <v>2</v>
      </c>
      <c r="E232">
        <v>400</v>
      </c>
      <c r="F232">
        <v>30</v>
      </c>
      <c r="G232">
        <v>1</v>
      </c>
      <c r="H232">
        <v>150</v>
      </c>
      <c r="I232">
        <v>250</v>
      </c>
      <c r="J232" t="s">
        <v>87</v>
      </c>
      <c r="K232">
        <v>250</v>
      </c>
      <c r="L232">
        <v>3</v>
      </c>
      <c r="M232">
        <v>0</v>
      </c>
      <c r="N232">
        <f>D232*Food_DB!$C$2</f>
        <v>150</v>
      </c>
      <c r="O232">
        <f>E232/100*Food_DB!$C$3</f>
        <v>260</v>
      </c>
      <c r="P232">
        <f>F232/30*Food_DB!$C$4</f>
        <v>111</v>
      </c>
      <c r="Q232">
        <f>G232*Food_DB!$C$5</f>
        <v>222</v>
      </c>
      <c r="R232">
        <f>H232/100*Food_DB!$C$6</f>
        <v>12</v>
      </c>
      <c r="S232">
        <f>I232/100*Food_DB!$C$7</f>
        <v>62.5</v>
      </c>
      <c r="T232">
        <f>IFERROR(K232/100*VLOOKUP(J232,Food_DB!$A$2:$F$14,3,FALSE),0)</f>
        <v>300</v>
      </c>
      <c r="U232">
        <f>L232*Food_DB!$C$8</f>
        <v>270</v>
      </c>
      <c r="V232">
        <f t="shared" si="12"/>
        <v>0</v>
      </c>
      <c r="W232">
        <f t="shared" si="13"/>
        <v>1387.5</v>
      </c>
      <c r="X232">
        <f>D232*Food_DB!$D$2+E232/100*Food_DB!$D$3+F232/30*Food_DB!$D$4+G232*Food_DB!$D$5+H232/100*Food_DB!$D$6+I232/100*Food_DB!$D$7+IFERROR(K232/100*VLOOKUP(J232,Food_DB!$A$2:$F$14,4,FALSE),0)+L232*Food_DB!$D$8</f>
        <v>100.49999999999999</v>
      </c>
      <c r="Y232">
        <f>D232*Food_DB!$E$2+E232/100*Food_DB!$E$3+F232/30*Food_DB!$E$4+G232*Food_DB!$E$5+H232/100*Food_DB!$E$6+I232/100*Food_DB!$E$7+IFERROR(K232/100*VLOOKUP(J232,Food_DB!$A$2:$F$14,5,FALSE),0)+L232*Food_DB!$E$8</f>
        <v>32.35</v>
      </c>
      <c r="Z232">
        <f>D232*Food_DB!$F$2+E232/100*Food_DB!$F$3+F232/30*Food_DB!$F$4+G232*Food_DB!$F$5+H232/100*Food_DB!$F$6+I232/100*Food_DB!$F$7+IFERROR(K232/100*VLOOKUP(J232,Food_DB!$A$2:$F$14,6,FALSE),0)+L232*Food_DB!$F$8</f>
        <v>178.15</v>
      </c>
      <c r="AA232">
        <v>6.5</v>
      </c>
      <c r="AB232">
        <v>30</v>
      </c>
      <c r="AC232">
        <v>0</v>
      </c>
      <c r="AD232">
        <v>0</v>
      </c>
      <c r="AE232">
        <f>Dashboard!$B$6*AA232+Dashboard!$B$6*4*AB232/60+Dashboard!$B$6*8*AC232/120+Dashboard!$B$6*7*AD232</f>
        <v>680</v>
      </c>
      <c r="AF232">
        <f>Dashboard!$B$5</f>
        <v>1700</v>
      </c>
      <c r="AG232">
        <f t="shared" si="14"/>
        <v>2720</v>
      </c>
      <c r="AH232">
        <f t="shared" si="15"/>
        <v>-1332.5</v>
      </c>
    </row>
    <row r="233" spans="1:34">
      <c r="A233">
        <v>46409</v>
      </c>
      <c r="B233" t="s">
        <v>80</v>
      </c>
      <c r="C233" t="s">
        <v>81</v>
      </c>
      <c r="D233">
        <v>2</v>
      </c>
      <c r="E233">
        <v>400</v>
      </c>
      <c r="F233">
        <v>30</v>
      </c>
      <c r="G233">
        <v>1</v>
      </c>
      <c r="H233">
        <v>150</v>
      </c>
      <c r="I233">
        <v>250</v>
      </c>
      <c r="J233" t="s">
        <v>90</v>
      </c>
      <c r="K233">
        <v>250</v>
      </c>
      <c r="L233">
        <v>3</v>
      </c>
      <c r="M233">
        <v>1000</v>
      </c>
      <c r="N233">
        <f>D233*Food_DB!$C$2</f>
        <v>150</v>
      </c>
      <c r="O233">
        <f>E233/100*Food_DB!$C$3</f>
        <v>260</v>
      </c>
      <c r="P233">
        <f>F233/30*Food_DB!$C$4</f>
        <v>111</v>
      </c>
      <c r="Q233">
        <f>G233*Food_DB!$C$5</f>
        <v>222</v>
      </c>
      <c r="R233">
        <f>H233/100*Food_DB!$C$6</f>
        <v>12</v>
      </c>
      <c r="S233">
        <f>I233/100*Food_DB!$C$7</f>
        <v>62.5</v>
      </c>
      <c r="T233">
        <f>IFERROR(K233/100*VLOOKUP(J233,Food_DB!$A$2:$F$14,3,FALSE),0)</f>
        <v>575</v>
      </c>
      <c r="U233">
        <f>L233*Food_DB!$C$8</f>
        <v>270</v>
      </c>
      <c r="V233">
        <f t="shared" si="12"/>
        <v>1000</v>
      </c>
      <c r="W233">
        <f t="shared" si="13"/>
        <v>2662.5</v>
      </c>
      <c r="X233">
        <f>D233*Food_DB!$D$2+E233/100*Food_DB!$D$3+F233/30*Food_DB!$D$4+G233*Food_DB!$D$5+H233/100*Food_DB!$D$6+I233/100*Food_DB!$D$7+IFERROR(K233/100*VLOOKUP(J233,Food_DB!$A$2:$F$14,4,FALSE),0)+L233*Food_DB!$D$8</f>
        <v>87.999999999999986</v>
      </c>
      <c r="Y233">
        <f>D233*Food_DB!$E$2+E233/100*Food_DB!$E$3+F233/30*Food_DB!$E$4+G233*Food_DB!$E$5+H233/100*Food_DB!$E$6+I233/100*Food_DB!$E$7+IFERROR(K233/100*VLOOKUP(J233,Food_DB!$A$2:$F$14,5,FALSE),0)+L233*Food_DB!$E$8</f>
        <v>68.599999999999994</v>
      </c>
      <c r="Z233">
        <f>D233*Food_DB!$F$2+E233/100*Food_DB!$F$3+F233/30*Food_DB!$F$4+G233*Food_DB!$F$5+H233/100*Food_DB!$F$6+I233/100*Food_DB!$F$7+IFERROR(K233/100*VLOOKUP(J233,Food_DB!$A$2:$F$14,6,FALSE),0)+L233*Food_DB!$F$8</f>
        <v>178.15</v>
      </c>
      <c r="AA233">
        <v>6.5</v>
      </c>
      <c r="AB233">
        <v>30</v>
      </c>
      <c r="AC233">
        <v>0</v>
      </c>
      <c r="AD233">
        <v>0</v>
      </c>
      <c r="AE233">
        <f>Dashboard!$B$6*AA233+Dashboard!$B$6*4*AB233/60+Dashboard!$B$6*8*AC233/120+Dashboard!$B$6*7*AD233</f>
        <v>680</v>
      </c>
      <c r="AF233">
        <f>Dashboard!$B$5</f>
        <v>1700</v>
      </c>
      <c r="AG233">
        <f t="shared" si="14"/>
        <v>2720</v>
      </c>
      <c r="AH233">
        <f t="shared" si="15"/>
        <v>-57.5</v>
      </c>
    </row>
    <row r="234" spans="1:34">
      <c r="A234">
        <v>46410</v>
      </c>
      <c r="B234" t="s">
        <v>83</v>
      </c>
      <c r="C234" t="s">
        <v>84</v>
      </c>
      <c r="D234">
        <v>2</v>
      </c>
      <c r="E234">
        <v>400</v>
      </c>
      <c r="F234">
        <v>30</v>
      </c>
      <c r="G234">
        <v>1</v>
      </c>
      <c r="H234">
        <v>150</v>
      </c>
      <c r="I234">
        <v>250</v>
      </c>
      <c r="J234" t="s">
        <v>82</v>
      </c>
      <c r="K234">
        <v>250</v>
      </c>
      <c r="L234">
        <v>3</v>
      </c>
      <c r="M234">
        <v>0</v>
      </c>
      <c r="N234">
        <f>D234*Food_DB!$C$2</f>
        <v>150</v>
      </c>
      <c r="O234">
        <f>E234/100*Food_DB!$C$3</f>
        <v>260</v>
      </c>
      <c r="P234">
        <f>F234/30*Food_DB!$C$4</f>
        <v>111</v>
      </c>
      <c r="Q234">
        <f>G234*Food_DB!$C$5</f>
        <v>222</v>
      </c>
      <c r="R234">
        <f>H234/100*Food_DB!$C$6</f>
        <v>12</v>
      </c>
      <c r="S234">
        <f>I234/100*Food_DB!$C$7</f>
        <v>62.5</v>
      </c>
      <c r="T234">
        <f>IFERROR(K234/100*VLOOKUP(J234,Food_DB!$A$2:$F$14,3,FALSE),0)</f>
        <v>550</v>
      </c>
      <c r="U234">
        <f>L234*Food_DB!$C$8</f>
        <v>270</v>
      </c>
      <c r="V234">
        <f t="shared" si="12"/>
        <v>0</v>
      </c>
      <c r="W234">
        <f t="shared" si="13"/>
        <v>1637.5</v>
      </c>
      <c r="X234">
        <f>D234*Food_DB!$D$2+E234/100*Food_DB!$D$3+F234/30*Food_DB!$D$4+G234*Food_DB!$D$5+H234/100*Food_DB!$D$6+I234/100*Food_DB!$D$7+IFERROR(K234/100*VLOOKUP(J234,Food_DB!$A$2:$F$14,4,FALSE),0)+L234*Food_DB!$D$8</f>
        <v>92.999999999999986</v>
      </c>
      <c r="Y234">
        <f>D234*Food_DB!$E$2+E234/100*Food_DB!$E$3+F234/30*Food_DB!$E$4+G234*Food_DB!$E$5+H234/100*Food_DB!$E$6+I234/100*Food_DB!$E$7+IFERROR(K234/100*VLOOKUP(J234,Food_DB!$A$2:$F$14,5,FALSE),0)+L234*Food_DB!$E$8</f>
        <v>63.6</v>
      </c>
      <c r="Z234">
        <f>D234*Food_DB!$F$2+E234/100*Food_DB!$F$3+F234/30*Food_DB!$F$4+G234*Food_DB!$F$5+H234/100*Food_DB!$F$6+I234/100*Food_DB!$F$7+IFERROR(K234/100*VLOOKUP(J234,Food_DB!$A$2:$F$14,6,FALSE),0)+L234*Food_DB!$F$8</f>
        <v>178.15</v>
      </c>
      <c r="AA234">
        <v>0</v>
      </c>
      <c r="AB234">
        <v>0</v>
      </c>
      <c r="AC234">
        <v>0</v>
      </c>
      <c r="AD234">
        <v>3.5</v>
      </c>
      <c r="AE234">
        <f>Dashboard!$B$6*AA234+Dashboard!$B$6*4*AB234/60+Dashboard!$B$6*8*AC234/120+Dashboard!$B$6*7*AD234</f>
        <v>1960</v>
      </c>
      <c r="AF234">
        <f>Dashboard!$B$5</f>
        <v>1700</v>
      </c>
      <c r="AG234">
        <f t="shared" si="14"/>
        <v>4000</v>
      </c>
      <c r="AH234">
        <f t="shared" si="15"/>
        <v>-2362.5</v>
      </c>
    </row>
    <row r="235" spans="1:34">
      <c r="A235">
        <v>46411</v>
      </c>
      <c r="B235" t="s">
        <v>86</v>
      </c>
      <c r="C235" t="s">
        <v>84</v>
      </c>
      <c r="D235">
        <v>2</v>
      </c>
      <c r="E235">
        <v>400</v>
      </c>
      <c r="F235">
        <v>30</v>
      </c>
      <c r="G235">
        <v>1</v>
      </c>
      <c r="H235">
        <v>150</v>
      </c>
      <c r="I235">
        <v>250</v>
      </c>
      <c r="J235" t="s">
        <v>85</v>
      </c>
      <c r="K235">
        <v>250</v>
      </c>
      <c r="L235">
        <v>3</v>
      </c>
      <c r="M235">
        <v>0</v>
      </c>
      <c r="N235">
        <f>D235*Food_DB!$C$2</f>
        <v>150</v>
      </c>
      <c r="O235">
        <f>E235/100*Food_DB!$C$3</f>
        <v>260</v>
      </c>
      <c r="P235">
        <f>F235/30*Food_DB!$C$4</f>
        <v>111</v>
      </c>
      <c r="Q235">
        <f>G235*Food_DB!$C$5</f>
        <v>222</v>
      </c>
      <c r="R235">
        <f>H235/100*Food_DB!$C$6</f>
        <v>12</v>
      </c>
      <c r="S235">
        <f>I235/100*Food_DB!$C$7</f>
        <v>62.5</v>
      </c>
      <c r="T235">
        <f>IFERROR(K235/100*VLOOKUP(J235,Food_DB!$A$2:$F$14,3,FALSE),0)</f>
        <v>450</v>
      </c>
      <c r="U235">
        <f>L235*Food_DB!$C$8</f>
        <v>270</v>
      </c>
      <c r="V235">
        <f t="shared" si="12"/>
        <v>0</v>
      </c>
      <c r="W235">
        <f t="shared" si="13"/>
        <v>1537.5</v>
      </c>
      <c r="X235">
        <f>D235*Food_DB!$D$2+E235/100*Food_DB!$D$3+F235/30*Food_DB!$D$4+G235*Food_DB!$D$5+H235/100*Food_DB!$D$6+I235/100*Food_DB!$D$7+IFERROR(K235/100*VLOOKUP(J235,Food_DB!$A$2:$F$14,4,FALSE),0)+L235*Food_DB!$D$8</f>
        <v>92.999999999999986</v>
      </c>
      <c r="Y235">
        <f>D235*Food_DB!$E$2+E235/100*Food_DB!$E$3+F235/30*Food_DB!$E$4+G235*Food_DB!$E$5+H235/100*Food_DB!$E$6+I235/100*Food_DB!$E$7+IFERROR(K235/100*VLOOKUP(J235,Food_DB!$A$2:$F$14,5,FALSE),0)+L235*Food_DB!$E$8</f>
        <v>51.1</v>
      </c>
      <c r="Z235">
        <f>D235*Food_DB!$F$2+E235/100*Food_DB!$F$3+F235/30*Food_DB!$F$4+G235*Food_DB!$F$5+H235/100*Food_DB!$F$6+I235/100*Food_DB!$F$7+IFERROR(K235/100*VLOOKUP(J235,Food_DB!$A$2:$F$14,6,FALSE),0)+L235*Food_DB!$F$8</f>
        <v>178.15</v>
      </c>
      <c r="AA235">
        <v>0</v>
      </c>
      <c r="AB235">
        <v>0</v>
      </c>
      <c r="AC235">
        <v>0</v>
      </c>
      <c r="AD235">
        <v>3.5</v>
      </c>
      <c r="AE235">
        <f>Dashboard!$B$6*AA235+Dashboard!$B$6*4*AB235/60+Dashboard!$B$6*8*AC235/120+Dashboard!$B$6*7*AD235</f>
        <v>1960</v>
      </c>
      <c r="AF235">
        <f>Dashboard!$B$5</f>
        <v>1700</v>
      </c>
      <c r="AG235">
        <f t="shared" si="14"/>
        <v>4000</v>
      </c>
      <c r="AH235">
        <f t="shared" si="15"/>
        <v>-2462.5</v>
      </c>
    </row>
    <row r="236" spans="1:34">
      <c r="A236">
        <v>46412</v>
      </c>
      <c r="B236" t="s">
        <v>88</v>
      </c>
      <c r="C236" t="s">
        <v>89</v>
      </c>
      <c r="D236">
        <v>2</v>
      </c>
      <c r="E236">
        <v>400</v>
      </c>
      <c r="F236">
        <v>30</v>
      </c>
      <c r="G236">
        <v>1</v>
      </c>
      <c r="H236">
        <v>150</v>
      </c>
      <c r="I236">
        <v>250</v>
      </c>
      <c r="J236" t="s">
        <v>87</v>
      </c>
      <c r="K236">
        <v>250</v>
      </c>
      <c r="L236">
        <v>3</v>
      </c>
      <c r="M236">
        <v>0</v>
      </c>
      <c r="N236">
        <f>D236*Food_DB!$C$2</f>
        <v>150</v>
      </c>
      <c r="O236">
        <f>E236/100*Food_DB!$C$3</f>
        <v>260</v>
      </c>
      <c r="P236">
        <f>F236/30*Food_DB!$C$4</f>
        <v>111</v>
      </c>
      <c r="Q236">
        <f>G236*Food_DB!$C$5</f>
        <v>222</v>
      </c>
      <c r="R236">
        <f>H236/100*Food_DB!$C$6</f>
        <v>12</v>
      </c>
      <c r="S236">
        <f>I236/100*Food_DB!$C$7</f>
        <v>62.5</v>
      </c>
      <c r="T236">
        <f>IFERROR(K236/100*VLOOKUP(J236,Food_DB!$A$2:$F$14,3,FALSE),0)</f>
        <v>300</v>
      </c>
      <c r="U236">
        <f>L236*Food_DB!$C$8</f>
        <v>270</v>
      </c>
      <c r="V236">
        <f t="shared" si="12"/>
        <v>0</v>
      </c>
      <c r="W236">
        <f t="shared" si="13"/>
        <v>1387.5</v>
      </c>
      <c r="X236">
        <f>D236*Food_DB!$D$2+E236/100*Food_DB!$D$3+F236/30*Food_DB!$D$4+G236*Food_DB!$D$5+H236/100*Food_DB!$D$6+I236/100*Food_DB!$D$7+IFERROR(K236/100*VLOOKUP(J236,Food_DB!$A$2:$F$14,4,FALSE),0)+L236*Food_DB!$D$8</f>
        <v>100.49999999999999</v>
      </c>
      <c r="Y236">
        <f>D236*Food_DB!$E$2+E236/100*Food_DB!$E$3+F236/30*Food_DB!$E$4+G236*Food_DB!$E$5+H236/100*Food_DB!$E$6+I236/100*Food_DB!$E$7+IFERROR(K236/100*VLOOKUP(J236,Food_DB!$A$2:$F$14,5,FALSE),0)+L236*Food_DB!$E$8</f>
        <v>32.35</v>
      </c>
      <c r="Z236">
        <f>D236*Food_DB!$F$2+E236/100*Food_DB!$F$3+F236/30*Food_DB!$F$4+G236*Food_DB!$F$5+H236/100*Food_DB!$F$6+I236/100*Food_DB!$F$7+IFERROR(K236/100*VLOOKUP(J236,Food_DB!$A$2:$F$14,6,FALSE),0)+L236*Food_DB!$F$8</f>
        <v>178.15</v>
      </c>
      <c r="AA236">
        <v>6.5</v>
      </c>
      <c r="AB236">
        <v>30</v>
      </c>
      <c r="AC236">
        <v>0</v>
      </c>
      <c r="AD236">
        <v>0</v>
      </c>
      <c r="AE236">
        <f>Dashboard!$B$6*AA236+Dashboard!$B$6*4*AB236/60+Dashboard!$B$6*8*AC236/120+Dashboard!$B$6*7*AD236</f>
        <v>680</v>
      </c>
      <c r="AF236">
        <f>Dashboard!$B$5</f>
        <v>1700</v>
      </c>
      <c r="AG236">
        <f t="shared" si="14"/>
        <v>2720</v>
      </c>
      <c r="AH236">
        <f t="shared" si="15"/>
        <v>-1332.5</v>
      </c>
    </row>
    <row r="237" spans="1:34">
      <c r="A237">
        <v>46413</v>
      </c>
      <c r="B237" t="s">
        <v>91</v>
      </c>
      <c r="C237" t="s">
        <v>89</v>
      </c>
      <c r="D237">
        <v>2</v>
      </c>
      <c r="E237">
        <v>400</v>
      </c>
      <c r="F237">
        <v>30</v>
      </c>
      <c r="G237">
        <v>1</v>
      </c>
      <c r="H237">
        <v>150</v>
      </c>
      <c r="I237">
        <v>250</v>
      </c>
      <c r="J237" t="s">
        <v>90</v>
      </c>
      <c r="K237">
        <v>250</v>
      </c>
      <c r="L237">
        <v>3</v>
      </c>
      <c r="M237">
        <v>0</v>
      </c>
      <c r="N237">
        <f>D237*Food_DB!$C$2</f>
        <v>150</v>
      </c>
      <c r="O237">
        <f>E237/100*Food_DB!$C$3</f>
        <v>260</v>
      </c>
      <c r="P237">
        <f>F237/30*Food_DB!$C$4</f>
        <v>111</v>
      </c>
      <c r="Q237">
        <f>G237*Food_DB!$C$5</f>
        <v>222</v>
      </c>
      <c r="R237">
        <f>H237/100*Food_DB!$C$6</f>
        <v>12</v>
      </c>
      <c r="S237">
        <f>I237/100*Food_DB!$C$7</f>
        <v>62.5</v>
      </c>
      <c r="T237">
        <f>IFERROR(K237/100*VLOOKUP(J237,Food_DB!$A$2:$F$14,3,FALSE),0)</f>
        <v>575</v>
      </c>
      <c r="U237">
        <f>L237*Food_DB!$C$8</f>
        <v>270</v>
      </c>
      <c r="V237">
        <f t="shared" si="12"/>
        <v>0</v>
      </c>
      <c r="W237">
        <f t="shared" si="13"/>
        <v>1662.5</v>
      </c>
      <c r="X237">
        <f>D237*Food_DB!$D$2+E237/100*Food_DB!$D$3+F237/30*Food_DB!$D$4+G237*Food_DB!$D$5+H237/100*Food_DB!$D$6+I237/100*Food_DB!$D$7+IFERROR(K237/100*VLOOKUP(J237,Food_DB!$A$2:$F$14,4,FALSE),0)+L237*Food_DB!$D$8</f>
        <v>87.999999999999986</v>
      </c>
      <c r="Y237">
        <f>D237*Food_DB!$E$2+E237/100*Food_DB!$E$3+F237/30*Food_DB!$E$4+G237*Food_DB!$E$5+H237/100*Food_DB!$E$6+I237/100*Food_DB!$E$7+IFERROR(K237/100*VLOOKUP(J237,Food_DB!$A$2:$F$14,5,FALSE),0)+L237*Food_DB!$E$8</f>
        <v>68.599999999999994</v>
      </c>
      <c r="Z237">
        <f>D237*Food_DB!$F$2+E237/100*Food_DB!$F$3+F237/30*Food_DB!$F$4+G237*Food_DB!$F$5+H237/100*Food_DB!$F$6+I237/100*Food_DB!$F$7+IFERROR(K237/100*VLOOKUP(J237,Food_DB!$A$2:$F$14,6,FALSE),0)+L237*Food_DB!$F$8</f>
        <v>178.15</v>
      </c>
      <c r="AA237">
        <v>6.5</v>
      </c>
      <c r="AB237">
        <v>30</v>
      </c>
      <c r="AC237">
        <v>0</v>
      </c>
      <c r="AD237">
        <v>0</v>
      </c>
      <c r="AE237">
        <f>Dashboard!$B$6*AA237+Dashboard!$B$6*4*AB237/60+Dashboard!$B$6*8*AC237/120+Dashboard!$B$6*7*AD237</f>
        <v>680</v>
      </c>
      <c r="AF237">
        <f>Dashboard!$B$5</f>
        <v>1700</v>
      </c>
      <c r="AG237">
        <f t="shared" si="14"/>
        <v>2720</v>
      </c>
      <c r="AH237">
        <f t="shared" si="15"/>
        <v>-1057.5</v>
      </c>
    </row>
    <row r="238" spans="1:34">
      <c r="A238">
        <v>46414</v>
      </c>
      <c r="B238" t="s">
        <v>92</v>
      </c>
      <c r="C238" t="s">
        <v>89</v>
      </c>
      <c r="D238">
        <v>2</v>
      </c>
      <c r="E238">
        <v>400</v>
      </c>
      <c r="F238">
        <v>30</v>
      </c>
      <c r="G238">
        <v>1</v>
      </c>
      <c r="H238">
        <v>150</v>
      </c>
      <c r="I238">
        <v>250</v>
      </c>
      <c r="J238" t="s">
        <v>82</v>
      </c>
      <c r="K238">
        <v>250</v>
      </c>
      <c r="L238">
        <v>3</v>
      </c>
      <c r="M238">
        <v>0</v>
      </c>
      <c r="N238">
        <f>D238*Food_DB!$C$2</f>
        <v>150</v>
      </c>
      <c r="O238">
        <f>E238/100*Food_DB!$C$3</f>
        <v>260</v>
      </c>
      <c r="P238">
        <f>F238/30*Food_DB!$C$4</f>
        <v>111</v>
      </c>
      <c r="Q238">
        <f>G238*Food_DB!$C$5</f>
        <v>222</v>
      </c>
      <c r="R238">
        <f>H238/100*Food_DB!$C$6</f>
        <v>12</v>
      </c>
      <c r="S238">
        <f>I238/100*Food_DB!$C$7</f>
        <v>62.5</v>
      </c>
      <c r="T238">
        <f>IFERROR(K238/100*VLOOKUP(J238,Food_DB!$A$2:$F$14,3,FALSE),0)</f>
        <v>550</v>
      </c>
      <c r="U238">
        <f>L238*Food_DB!$C$8</f>
        <v>270</v>
      </c>
      <c r="V238">
        <f t="shared" si="12"/>
        <v>0</v>
      </c>
      <c r="W238">
        <f t="shared" si="13"/>
        <v>1637.5</v>
      </c>
      <c r="X238">
        <f>D238*Food_DB!$D$2+E238/100*Food_DB!$D$3+F238/30*Food_DB!$D$4+G238*Food_DB!$D$5+H238/100*Food_DB!$D$6+I238/100*Food_DB!$D$7+IFERROR(K238/100*VLOOKUP(J238,Food_DB!$A$2:$F$14,4,FALSE),0)+L238*Food_DB!$D$8</f>
        <v>92.999999999999986</v>
      </c>
      <c r="Y238">
        <f>D238*Food_DB!$E$2+E238/100*Food_DB!$E$3+F238/30*Food_DB!$E$4+G238*Food_DB!$E$5+H238/100*Food_DB!$E$6+I238/100*Food_DB!$E$7+IFERROR(K238/100*VLOOKUP(J238,Food_DB!$A$2:$F$14,5,FALSE),0)+L238*Food_DB!$E$8</f>
        <v>63.6</v>
      </c>
      <c r="Z238">
        <f>D238*Food_DB!$F$2+E238/100*Food_DB!$F$3+F238/30*Food_DB!$F$4+G238*Food_DB!$F$5+H238/100*Food_DB!$F$6+I238/100*Food_DB!$F$7+IFERROR(K238/100*VLOOKUP(J238,Food_DB!$A$2:$F$14,6,FALSE),0)+L238*Food_DB!$F$8</f>
        <v>178.15</v>
      </c>
      <c r="AA238">
        <v>6.5</v>
      </c>
      <c r="AB238">
        <v>30</v>
      </c>
      <c r="AC238">
        <v>0</v>
      </c>
      <c r="AD238">
        <v>0</v>
      </c>
      <c r="AE238">
        <f>Dashboard!$B$6*AA238+Dashboard!$B$6*4*AB238/60+Dashboard!$B$6*8*AC238/120+Dashboard!$B$6*7*AD238</f>
        <v>680</v>
      </c>
      <c r="AF238">
        <f>Dashboard!$B$5</f>
        <v>1700</v>
      </c>
      <c r="AG238">
        <f t="shared" si="14"/>
        <v>2720</v>
      </c>
      <c r="AH238">
        <f t="shared" si="15"/>
        <v>-1082.5</v>
      </c>
    </row>
    <row r="239" spans="1:34">
      <c r="A239">
        <v>46415</v>
      </c>
      <c r="B239" t="s">
        <v>93</v>
      </c>
      <c r="C239" t="s">
        <v>89</v>
      </c>
      <c r="D239">
        <v>2</v>
      </c>
      <c r="E239">
        <v>400</v>
      </c>
      <c r="F239">
        <v>30</v>
      </c>
      <c r="G239">
        <v>1</v>
      </c>
      <c r="H239">
        <v>150</v>
      </c>
      <c r="I239">
        <v>250</v>
      </c>
      <c r="J239" t="s">
        <v>85</v>
      </c>
      <c r="K239">
        <v>250</v>
      </c>
      <c r="L239">
        <v>3</v>
      </c>
      <c r="M239">
        <v>0</v>
      </c>
      <c r="N239">
        <f>D239*Food_DB!$C$2</f>
        <v>150</v>
      </c>
      <c r="O239">
        <f>E239/100*Food_DB!$C$3</f>
        <v>260</v>
      </c>
      <c r="P239">
        <f>F239/30*Food_DB!$C$4</f>
        <v>111</v>
      </c>
      <c r="Q239">
        <f>G239*Food_DB!$C$5</f>
        <v>222</v>
      </c>
      <c r="R239">
        <f>H239/100*Food_DB!$C$6</f>
        <v>12</v>
      </c>
      <c r="S239">
        <f>I239/100*Food_DB!$C$7</f>
        <v>62.5</v>
      </c>
      <c r="T239">
        <f>IFERROR(K239/100*VLOOKUP(J239,Food_DB!$A$2:$F$14,3,FALSE),0)</f>
        <v>450</v>
      </c>
      <c r="U239">
        <f>L239*Food_DB!$C$8</f>
        <v>270</v>
      </c>
      <c r="V239">
        <f t="shared" si="12"/>
        <v>0</v>
      </c>
      <c r="W239">
        <f t="shared" si="13"/>
        <v>1537.5</v>
      </c>
      <c r="X239">
        <f>D239*Food_DB!$D$2+E239/100*Food_DB!$D$3+F239/30*Food_DB!$D$4+G239*Food_DB!$D$5+H239/100*Food_DB!$D$6+I239/100*Food_DB!$D$7+IFERROR(K239/100*VLOOKUP(J239,Food_DB!$A$2:$F$14,4,FALSE),0)+L239*Food_DB!$D$8</f>
        <v>92.999999999999986</v>
      </c>
      <c r="Y239">
        <f>D239*Food_DB!$E$2+E239/100*Food_DB!$E$3+F239/30*Food_DB!$E$4+G239*Food_DB!$E$5+H239/100*Food_DB!$E$6+I239/100*Food_DB!$E$7+IFERROR(K239/100*VLOOKUP(J239,Food_DB!$A$2:$F$14,5,FALSE),0)+L239*Food_DB!$E$8</f>
        <v>51.1</v>
      </c>
      <c r="Z239">
        <f>D239*Food_DB!$F$2+E239/100*Food_DB!$F$3+F239/30*Food_DB!$F$4+G239*Food_DB!$F$5+H239/100*Food_DB!$F$6+I239/100*Food_DB!$F$7+IFERROR(K239/100*VLOOKUP(J239,Food_DB!$A$2:$F$14,6,FALSE),0)+L239*Food_DB!$F$8</f>
        <v>178.15</v>
      </c>
      <c r="AA239">
        <v>6.5</v>
      </c>
      <c r="AB239">
        <v>30</v>
      </c>
      <c r="AC239">
        <v>0</v>
      </c>
      <c r="AD239">
        <v>0</v>
      </c>
      <c r="AE239">
        <f>Dashboard!$B$6*AA239+Dashboard!$B$6*4*AB239/60+Dashboard!$B$6*8*AC239/120+Dashboard!$B$6*7*AD239</f>
        <v>680</v>
      </c>
      <c r="AF239">
        <f>Dashboard!$B$5</f>
        <v>1700</v>
      </c>
      <c r="AG239">
        <f t="shared" si="14"/>
        <v>2720</v>
      </c>
      <c r="AH239">
        <f t="shared" si="15"/>
        <v>-1182.5</v>
      </c>
    </row>
    <row r="240" spans="1:34">
      <c r="A240">
        <v>46416</v>
      </c>
      <c r="B240" t="s">
        <v>80</v>
      </c>
      <c r="C240" t="s">
        <v>81</v>
      </c>
      <c r="D240">
        <v>2</v>
      </c>
      <c r="E240">
        <v>400</v>
      </c>
      <c r="F240">
        <v>30</v>
      </c>
      <c r="G240">
        <v>1</v>
      </c>
      <c r="H240">
        <v>150</v>
      </c>
      <c r="I240">
        <v>250</v>
      </c>
      <c r="J240" t="s">
        <v>87</v>
      </c>
      <c r="K240">
        <v>250</v>
      </c>
      <c r="L240">
        <v>3</v>
      </c>
      <c r="M240">
        <v>1000</v>
      </c>
      <c r="N240">
        <f>D240*Food_DB!$C$2</f>
        <v>150</v>
      </c>
      <c r="O240">
        <f>E240/100*Food_DB!$C$3</f>
        <v>260</v>
      </c>
      <c r="P240">
        <f>F240/30*Food_DB!$C$4</f>
        <v>111</v>
      </c>
      <c r="Q240">
        <f>G240*Food_DB!$C$5</f>
        <v>222</v>
      </c>
      <c r="R240">
        <f>H240/100*Food_DB!$C$6</f>
        <v>12</v>
      </c>
      <c r="S240">
        <f>I240/100*Food_DB!$C$7</f>
        <v>62.5</v>
      </c>
      <c r="T240">
        <f>IFERROR(K240/100*VLOOKUP(J240,Food_DB!$A$2:$F$14,3,FALSE),0)</f>
        <v>300</v>
      </c>
      <c r="U240">
        <f>L240*Food_DB!$C$8</f>
        <v>270</v>
      </c>
      <c r="V240">
        <f t="shared" si="12"/>
        <v>1000</v>
      </c>
      <c r="W240">
        <f t="shared" si="13"/>
        <v>2387.5</v>
      </c>
      <c r="X240">
        <f>D240*Food_DB!$D$2+E240/100*Food_DB!$D$3+F240/30*Food_DB!$D$4+G240*Food_DB!$D$5+H240/100*Food_DB!$D$6+I240/100*Food_DB!$D$7+IFERROR(K240/100*VLOOKUP(J240,Food_DB!$A$2:$F$14,4,FALSE),0)+L240*Food_DB!$D$8</f>
        <v>100.49999999999999</v>
      </c>
      <c r="Y240">
        <f>D240*Food_DB!$E$2+E240/100*Food_DB!$E$3+F240/30*Food_DB!$E$4+G240*Food_DB!$E$5+H240/100*Food_DB!$E$6+I240/100*Food_DB!$E$7+IFERROR(K240/100*VLOOKUP(J240,Food_DB!$A$2:$F$14,5,FALSE),0)+L240*Food_DB!$E$8</f>
        <v>32.35</v>
      </c>
      <c r="Z240">
        <f>D240*Food_DB!$F$2+E240/100*Food_DB!$F$3+F240/30*Food_DB!$F$4+G240*Food_DB!$F$5+H240/100*Food_DB!$F$6+I240/100*Food_DB!$F$7+IFERROR(K240/100*VLOOKUP(J240,Food_DB!$A$2:$F$14,6,FALSE),0)+L240*Food_DB!$F$8</f>
        <v>178.15</v>
      </c>
      <c r="AA240">
        <v>6.5</v>
      </c>
      <c r="AB240">
        <v>30</v>
      </c>
      <c r="AC240">
        <v>0</v>
      </c>
      <c r="AD240">
        <v>0</v>
      </c>
      <c r="AE240">
        <f>Dashboard!$B$6*AA240+Dashboard!$B$6*4*AB240/60+Dashboard!$B$6*8*AC240/120+Dashboard!$B$6*7*AD240</f>
        <v>680</v>
      </c>
      <c r="AF240">
        <f>Dashboard!$B$5</f>
        <v>1700</v>
      </c>
      <c r="AG240">
        <f t="shared" si="14"/>
        <v>2720</v>
      </c>
      <c r="AH240">
        <f t="shared" si="15"/>
        <v>-332.5</v>
      </c>
    </row>
    <row r="241" spans="1:34">
      <c r="A241">
        <v>46417</v>
      </c>
      <c r="B241" t="s">
        <v>83</v>
      </c>
      <c r="C241" t="s">
        <v>84</v>
      </c>
      <c r="D241">
        <v>2</v>
      </c>
      <c r="E241">
        <v>400</v>
      </c>
      <c r="F241">
        <v>30</v>
      </c>
      <c r="G241">
        <v>1</v>
      </c>
      <c r="H241">
        <v>150</v>
      </c>
      <c r="I241">
        <v>250</v>
      </c>
      <c r="J241" t="s">
        <v>90</v>
      </c>
      <c r="K241">
        <v>250</v>
      </c>
      <c r="L241">
        <v>3</v>
      </c>
      <c r="M241">
        <v>0</v>
      </c>
      <c r="N241">
        <f>D241*Food_DB!$C$2</f>
        <v>150</v>
      </c>
      <c r="O241">
        <f>E241/100*Food_DB!$C$3</f>
        <v>260</v>
      </c>
      <c r="P241">
        <f>F241/30*Food_DB!$C$4</f>
        <v>111</v>
      </c>
      <c r="Q241">
        <f>G241*Food_DB!$C$5</f>
        <v>222</v>
      </c>
      <c r="R241">
        <f>H241/100*Food_DB!$C$6</f>
        <v>12</v>
      </c>
      <c r="S241">
        <f>I241/100*Food_DB!$C$7</f>
        <v>62.5</v>
      </c>
      <c r="T241">
        <f>IFERROR(K241/100*VLOOKUP(J241,Food_DB!$A$2:$F$14,3,FALSE),0)</f>
        <v>575</v>
      </c>
      <c r="U241">
        <f>L241*Food_DB!$C$8</f>
        <v>270</v>
      </c>
      <c r="V241">
        <f t="shared" si="12"/>
        <v>0</v>
      </c>
      <c r="W241">
        <f t="shared" si="13"/>
        <v>1662.5</v>
      </c>
      <c r="X241">
        <f>D241*Food_DB!$D$2+E241/100*Food_DB!$D$3+F241/30*Food_DB!$D$4+G241*Food_DB!$D$5+H241/100*Food_DB!$D$6+I241/100*Food_DB!$D$7+IFERROR(K241/100*VLOOKUP(J241,Food_DB!$A$2:$F$14,4,FALSE),0)+L241*Food_DB!$D$8</f>
        <v>87.999999999999986</v>
      </c>
      <c r="Y241">
        <f>D241*Food_DB!$E$2+E241/100*Food_DB!$E$3+F241/30*Food_DB!$E$4+G241*Food_DB!$E$5+H241/100*Food_DB!$E$6+I241/100*Food_DB!$E$7+IFERROR(K241/100*VLOOKUP(J241,Food_DB!$A$2:$F$14,5,FALSE),0)+L241*Food_DB!$E$8</f>
        <v>68.599999999999994</v>
      </c>
      <c r="Z241">
        <f>D241*Food_DB!$F$2+E241/100*Food_DB!$F$3+F241/30*Food_DB!$F$4+G241*Food_DB!$F$5+H241/100*Food_DB!$F$6+I241/100*Food_DB!$F$7+IFERROR(K241/100*VLOOKUP(J241,Food_DB!$A$2:$F$14,6,FALSE),0)+L241*Food_DB!$F$8</f>
        <v>178.15</v>
      </c>
      <c r="AA241">
        <v>0</v>
      </c>
      <c r="AB241">
        <v>0</v>
      </c>
      <c r="AC241">
        <v>0</v>
      </c>
      <c r="AD241">
        <v>3.5</v>
      </c>
      <c r="AE241">
        <f>Dashboard!$B$6*AA241+Dashboard!$B$6*4*AB241/60+Dashboard!$B$6*8*AC241/120+Dashboard!$B$6*7*AD241</f>
        <v>1960</v>
      </c>
      <c r="AF241">
        <f>Dashboard!$B$5</f>
        <v>1700</v>
      </c>
      <c r="AG241">
        <f t="shared" si="14"/>
        <v>4000</v>
      </c>
      <c r="AH241">
        <f t="shared" si="15"/>
        <v>-2337.5</v>
      </c>
    </row>
    <row r="242" spans="1:34">
      <c r="A242">
        <v>46418</v>
      </c>
      <c r="B242" t="s">
        <v>86</v>
      </c>
      <c r="C242" t="s">
        <v>84</v>
      </c>
      <c r="D242">
        <v>2</v>
      </c>
      <c r="E242">
        <v>400</v>
      </c>
      <c r="F242">
        <v>30</v>
      </c>
      <c r="G242">
        <v>1</v>
      </c>
      <c r="H242">
        <v>150</v>
      </c>
      <c r="I242">
        <v>250</v>
      </c>
      <c r="J242" t="s">
        <v>82</v>
      </c>
      <c r="K242">
        <v>250</v>
      </c>
      <c r="L242">
        <v>3</v>
      </c>
      <c r="M242">
        <v>0</v>
      </c>
      <c r="N242">
        <f>D242*Food_DB!$C$2</f>
        <v>150</v>
      </c>
      <c r="O242">
        <f>E242/100*Food_DB!$C$3</f>
        <v>260</v>
      </c>
      <c r="P242">
        <f>F242/30*Food_DB!$C$4</f>
        <v>111</v>
      </c>
      <c r="Q242">
        <f>G242*Food_DB!$C$5</f>
        <v>222</v>
      </c>
      <c r="R242">
        <f>H242/100*Food_DB!$C$6</f>
        <v>12</v>
      </c>
      <c r="S242">
        <f>I242/100*Food_DB!$C$7</f>
        <v>62.5</v>
      </c>
      <c r="T242">
        <f>IFERROR(K242/100*VLOOKUP(J242,Food_DB!$A$2:$F$14,3,FALSE),0)</f>
        <v>550</v>
      </c>
      <c r="U242">
        <f>L242*Food_DB!$C$8</f>
        <v>270</v>
      </c>
      <c r="V242">
        <f t="shared" si="12"/>
        <v>0</v>
      </c>
      <c r="W242">
        <f t="shared" si="13"/>
        <v>1637.5</v>
      </c>
      <c r="X242">
        <f>D242*Food_DB!$D$2+E242/100*Food_DB!$D$3+F242/30*Food_DB!$D$4+G242*Food_DB!$D$5+H242/100*Food_DB!$D$6+I242/100*Food_DB!$D$7+IFERROR(K242/100*VLOOKUP(J242,Food_DB!$A$2:$F$14,4,FALSE),0)+L242*Food_DB!$D$8</f>
        <v>92.999999999999986</v>
      </c>
      <c r="Y242">
        <f>D242*Food_DB!$E$2+E242/100*Food_DB!$E$3+F242/30*Food_DB!$E$4+G242*Food_DB!$E$5+H242/100*Food_DB!$E$6+I242/100*Food_DB!$E$7+IFERROR(K242/100*VLOOKUP(J242,Food_DB!$A$2:$F$14,5,FALSE),0)+L242*Food_DB!$E$8</f>
        <v>63.6</v>
      </c>
      <c r="Z242">
        <f>D242*Food_DB!$F$2+E242/100*Food_DB!$F$3+F242/30*Food_DB!$F$4+G242*Food_DB!$F$5+H242/100*Food_DB!$F$6+I242/100*Food_DB!$F$7+IFERROR(K242/100*VLOOKUP(J242,Food_DB!$A$2:$F$14,6,FALSE),0)+L242*Food_DB!$F$8</f>
        <v>178.15</v>
      </c>
      <c r="AA242">
        <v>0</v>
      </c>
      <c r="AB242">
        <v>0</v>
      </c>
      <c r="AC242">
        <v>0</v>
      </c>
      <c r="AD242">
        <v>3.5</v>
      </c>
      <c r="AE242">
        <f>Dashboard!$B$6*AA242+Dashboard!$B$6*4*AB242/60+Dashboard!$B$6*8*AC242/120+Dashboard!$B$6*7*AD242</f>
        <v>1960</v>
      </c>
      <c r="AF242">
        <f>Dashboard!$B$5</f>
        <v>1700</v>
      </c>
      <c r="AG242">
        <f t="shared" si="14"/>
        <v>4000</v>
      </c>
      <c r="AH242">
        <f t="shared" si="15"/>
        <v>-2362.5</v>
      </c>
    </row>
    <row r="243" spans="1:34">
      <c r="A243">
        <v>46419</v>
      </c>
      <c r="B243" t="s">
        <v>88</v>
      </c>
      <c r="C243" t="s">
        <v>89</v>
      </c>
      <c r="D243">
        <v>2</v>
      </c>
      <c r="E243">
        <v>400</v>
      </c>
      <c r="F243">
        <v>30</v>
      </c>
      <c r="G243">
        <v>1</v>
      </c>
      <c r="H243">
        <v>150</v>
      </c>
      <c r="I243">
        <v>250</v>
      </c>
      <c r="J243" t="s">
        <v>85</v>
      </c>
      <c r="K243">
        <v>250</v>
      </c>
      <c r="L243">
        <v>3</v>
      </c>
      <c r="M243">
        <v>0</v>
      </c>
      <c r="N243">
        <f>D243*Food_DB!$C$2</f>
        <v>150</v>
      </c>
      <c r="O243">
        <f>E243/100*Food_DB!$C$3</f>
        <v>260</v>
      </c>
      <c r="P243">
        <f>F243/30*Food_DB!$C$4</f>
        <v>111</v>
      </c>
      <c r="Q243">
        <f>G243*Food_DB!$C$5</f>
        <v>222</v>
      </c>
      <c r="R243">
        <f>H243/100*Food_DB!$C$6</f>
        <v>12</v>
      </c>
      <c r="S243">
        <f>I243/100*Food_DB!$C$7</f>
        <v>62.5</v>
      </c>
      <c r="T243">
        <f>IFERROR(K243/100*VLOOKUP(J243,Food_DB!$A$2:$F$14,3,FALSE),0)</f>
        <v>450</v>
      </c>
      <c r="U243">
        <f>L243*Food_DB!$C$8</f>
        <v>270</v>
      </c>
      <c r="V243">
        <f t="shared" si="12"/>
        <v>0</v>
      </c>
      <c r="W243">
        <f t="shared" si="13"/>
        <v>1537.5</v>
      </c>
      <c r="X243">
        <f>D243*Food_DB!$D$2+E243/100*Food_DB!$D$3+F243/30*Food_DB!$D$4+G243*Food_DB!$D$5+H243/100*Food_DB!$D$6+I243/100*Food_DB!$D$7+IFERROR(K243/100*VLOOKUP(J243,Food_DB!$A$2:$F$14,4,FALSE),0)+L243*Food_DB!$D$8</f>
        <v>92.999999999999986</v>
      </c>
      <c r="Y243">
        <f>D243*Food_DB!$E$2+E243/100*Food_DB!$E$3+F243/30*Food_DB!$E$4+G243*Food_DB!$E$5+H243/100*Food_DB!$E$6+I243/100*Food_DB!$E$7+IFERROR(K243/100*VLOOKUP(J243,Food_DB!$A$2:$F$14,5,FALSE),0)+L243*Food_DB!$E$8</f>
        <v>51.1</v>
      </c>
      <c r="Z243">
        <f>D243*Food_DB!$F$2+E243/100*Food_DB!$F$3+F243/30*Food_DB!$F$4+G243*Food_DB!$F$5+H243/100*Food_DB!$F$6+I243/100*Food_DB!$F$7+IFERROR(K243/100*VLOOKUP(J243,Food_DB!$A$2:$F$14,6,FALSE),0)+L243*Food_DB!$F$8</f>
        <v>178.15</v>
      </c>
      <c r="AA243">
        <v>6.5</v>
      </c>
      <c r="AB243">
        <v>30</v>
      </c>
      <c r="AC243">
        <v>0</v>
      </c>
      <c r="AD243">
        <v>0</v>
      </c>
      <c r="AE243">
        <f>Dashboard!$B$6*AA243+Dashboard!$B$6*4*AB243/60+Dashboard!$B$6*8*AC243/120+Dashboard!$B$6*7*AD243</f>
        <v>680</v>
      </c>
      <c r="AF243">
        <f>Dashboard!$B$5</f>
        <v>1700</v>
      </c>
      <c r="AG243">
        <f t="shared" si="14"/>
        <v>2720</v>
      </c>
      <c r="AH243">
        <f t="shared" si="15"/>
        <v>-1182.5</v>
      </c>
    </row>
    <row r="244" spans="1:34">
      <c r="A244">
        <v>46420</v>
      </c>
      <c r="B244" t="s">
        <v>91</v>
      </c>
      <c r="C244" t="s">
        <v>89</v>
      </c>
      <c r="D244">
        <v>2</v>
      </c>
      <c r="E244">
        <v>400</v>
      </c>
      <c r="F244">
        <v>30</v>
      </c>
      <c r="G244">
        <v>1</v>
      </c>
      <c r="H244">
        <v>150</v>
      </c>
      <c r="I244">
        <v>250</v>
      </c>
      <c r="J244" t="s">
        <v>87</v>
      </c>
      <c r="K244">
        <v>250</v>
      </c>
      <c r="L244">
        <v>3</v>
      </c>
      <c r="M244">
        <v>0</v>
      </c>
      <c r="N244">
        <f>D244*Food_DB!$C$2</f>
        <v>150</v>
      </c>
      <c r="O244">
        <f>E244/100*Food_DB!$C$3</f>
        <v>260</v>
      </c>
      <c r="P244">
        <f>F244/30*Food_DB!$C$4</f>
        <v>111</v>
      </c>
      <c r="Q244">
        <f>G244*Food_DB!$C$5</f>
        <v>222</v>
      </c>
      <c r="R244">
        <f>H244/100*Food_DB!$C$6</f>
        <v>12</v>
      </c>
      <c r="S244">
        <f>I244/100*Food_DB!$C$7</f>
        <v>62.5</v>
      </c>
      <c r="T244">
        <f>IFERROR(K244/100*VLOOKUP(J244,Food_DB!$A$2:$F$14,3,FALSE),0)</f>
        <v>300</v>
      </c>
      <c r="U244">
        <f>L244*Food_DB!$C$8</f>
        <v>270</v>
      </c>
      <c r="V244">
        <f t="shared" si="12"/>
        <v>0</v>
      </c>
      <c r="W244">
        <f t="shared" si="13"/>
        <v>1387.5</v>
      </c>
      <c r="X244">
        <f>D244*Food_DB!$D$2+E244/100*Food_DB!$D$3+F244/30*Food_DB!$D$4+G244*Food_DB!$D$5+H244/100*Food_DB!$D$6+I244/100*Food_DB!$D$7+IFERROR(K244/100*VLOOKUP(J244,Food_DB!$A$2:$F$14,4,FALSE),0)+L244*Food_DB!$D$8</f>
        <v>100.49999999999999</v>
      </c>
      <c r="Y244">
        <f>D244*Food_DB!$E$2+E244/100*Food_DB!$E$3+F244/30*Food_DB!$E$4+G244*Food_DB!$E$5+H244/100*Food_DB!$E$6+I244/100*Food_DB!$E$7+IFERROR(K244/100*VLOOKUP(J244,Food_DB!$A$2:$F$14,5,FALSE),0)+L244*Food_DB!$E$8</f>
        <v>32.35</v>
      </c>
      <c r="Z244">
        <f>D244*Food_DB!$F$2+E244/100*Food_DB!$F$3+F244/30*Food_DB!$F$4+G244*Food_DB!$F$5+H244/100*Food_DB!$F$6+I244/100*Food_DB!$F$7+IFERROR(K244/100*VLOOKUP(J244,Food_DB!$A$2:$F$14,6,FALSE),0)+L244*Food_DB!$F$8</f>
        <v>178.15</v>
      </c>
      <c r="AA244">
        <v>6.5</v>
      </c>
      <c r="AB244">
        <v>30</v>
      </c>
      <c r="AC244">
        <v>0</v>
      </c>
      <c r="AD244">
        <v>0</v>
      </c>
      <c r="AE244">
        <f>Dashboard!$B$6*AA244+Dashboard!$B$6*4*AB244/60+Dashboard!$B$6*8*AC244/120+Dashboard!$B$6*7*AD244</f>
        <v>680</v>
      </c>
      <c r="AF244">
        <f>Dashboard!$B$5</f>
        <v>1700</v>
      </c>
      <c r="AG244">
        <f t="shared" si="14"/>
        <v>2720</v>
      </c>
      <c r="AH244">
        <f t="shared" si="15"/>
        <v>-1332.5</v>
      </c>
    </row>
    <row r="245" spans="1:34">
      <c r="A245">
        <v>46421</v>
      </c>
      <c r="B245" t="s">
        <v>92</v>
      </c>
      <c r="C245" t="s">
        <v>89</v>
      </c>
      <c r="D245">
        <v>2</v>
      </c>
      <c r="E245">
        <v>400</v>
      </c>
      <c r="F245">
        <v>30</v>
      </c>
      <c r="G245">
        <v>1</v>
      </c>
      <c r="H245">
        <v>150</v>
      </c>
      <c r="I245">
        <v>250</v>
      </c>
      <c r="J245" t="s">
        <v>90</v>
      </c>
      <c r="K245">
        <v>250</v>
      </c>
      <c r="L245">
        <v>3</v>
      </c>
      <c r="M245">
        <v>0</v>
      </c>
      <c r="N245">
        <f>D245*Food_DB!$C$2</f>
        <v>150</v>
      </c>
      <c r="O245">
        <f>E245/100*Food_DB!$C$3</f>
        <v>260</v>
      </c>
      <c r="P245">
        <f>F245/30*Food_DB!$C$4</f>
        <v>111</v>
      </c>
      <c r="Q245">
        <f>G245*Food_DB!$C$5</f>
        <v>222</v>
      </c>
      <c r="R245">
        <f>H245/100*Food_DB!$C$6</f>
        <v>12</v>
      </c>
      <c r="S245">
        <f>I245/100*Food_DB!$C$7</f>
        <v>62.5</v>
      </c>
      <c r="T245">
        <f>IFERROR(K245/100*VLOOKUP(J245,Food_DB!$A$2:$F$14,3,FALSE),0)</f>
        <v>575</v>
      </c>
      <c r="U245">
        <f>L245*Food_DB!$C$8</f>
        <v>270</v>
      </c>
      <c r="V245">
        <f t="shared" si="12"/>
        <v>0</v>
      </c>
      <c r="W245">
        <f t="shared" si="13"/>
        <v>1662.5</v>
      </c>
      <c r="X245">
        <f>D245*Food_DB!$D$2+E245/100*Food_DB!$D$3+F245/30*Food_DB!$D$4+G245*Food_DB!$D$5+H245/100*Food_DB!$D$6+I245/100*Food_DB!$D$7+IFERROR(K245/100*VLOOKUP(J245,Food_DB!$A$2:$F$14,4,FALSE),0)+L245*Food_DB!$D$8</f>
        <v>87.999999999999986</v>
      </c>
      <c r="Y245">
        <f>D245*Food_DB!$E$2+E245/100*Food_DB!$E$3+F245/30*Food_DB!$E$4+G245*Food_DB!$E$5+H245/100*Food_DB!$E$6+I245/100*Food_DB!$E$7+IFERROR(K245/100*VLOOKUP(J245,Food_DB!$A$2:$F$14,5,FALSE),0)+L245*Food_DB!$E$8</f>
        <v>68.599999999999994</v>
      </c>
      <c r="Z245">
        <f>D245*Food_DB!$F$2+E245/100*Food_DB!$F$3+F245/30*Food_DB!$F$4+G245*Food_DB!$F$5+H245/100*Food_DB!$F$6+I245/100*Food_DB!$F$7+IFERROR(K245/100*VLOOKUP(J245,Food_DB!$A$2:$F$14,6,FALSE),0)+L245*Food_DB!$F$8</f>
        <v>178.15</v>
      </c>
      <c r="AA245">
        <v>6.5</v>
      </c>
      <c r="AB245">
        <v>30</v>
      </c>
      <c r="AC245">
        <v>0</v>
      </c>
      <c r="AD245">
        <v>0</v>
      </c>
      <c r="AE245">
        <f>Dashboard!$B$6*AA245+Dashboard!$B$6*4*AB245/60+Dashboard!$B$6*8*AC245/120+Dashboard!$B$6*7*AD245</f>
        <v>680</v>
      </c>
      <c r="AF245">
        <f>Dashboard!$B$5</f>
        <v>1700</v>
      </c>
      <c r="AG245">
        <f t="shared" si="14"/>
        <v>2720</v>
      </c>
      <c r="AH245">
        <f t="shared" si="15"/>
        <v>-1057.5</v>
      </c>
    </row>
    <row r="246" spans="1:34">
      <c r="A246">
        <v>46422</v>
      </c>
      <c r="B246" t="s">
        <v>93</v>
      </c>
      <c r="C246" t="s">
        <v>89</v>
      </c>
      <c r="D246">
        <v>2</v>
      </c>
      <c r="E246">
        <v>400</v>
      </c>
      <c r="F246">
        <v>30</v>
      </c>
      <c r="G246">
        <v>1</v>
      </c>
      <c r="H246">
        <v>150</v>
      </c>
      <c r="I246">
        <v>250</v>
      </c>
      <c r="J246" t="s">
        <v>82</v>
      </c>
      <c r="K246">
        <v>250</v>
      </c>
      <c r="L246">
        <v>3</v>
      </c>
      <c r="M246">
        <v>0</v>
      </c>
      <c r="N246">
        <f>D246*Food_DB!$C$2</f>
        <v>150</v>
      </c>
      <c r="O246">
        <f>E246/100*Food_DB!$C$3</f>
        <v>260</v>
      </c>
      <c r="P246">
        <f>F246/30*Food_DB!$C$4</f>
        <v>111</v>
      </c>
      <c r="Q246">
        <f>G246*Food_DB!$C$5</f>
        <v>222</v>
      </c>
      <c r="R246">
        <f>H246/100*Food_DB!$C$6</f>
        <v>12</v>
      </c>
      <c r="S246">
        <f>I246/100*Food_DB!$C$7</f>
        <v>62.5</v>
      </c>
      <c r="T246">
        <f>IFERROR(K246/100*VLOOKUP(J246,Food_DB!$A$2:$F$14,3,FALSE),0)</f>
        <v>550</v>
      </c>
      <c r="U246">
        <f>L246*Food_DB!$C$8</f>
        <v>270</v>
      </c>
      <c r="V246">
        <f t="shared" si="12"/>
        <v>0</v>
      </c>
      <c r="W246">
        <f t="shared" si="13"/>
        <v>1637.5</v>
      </c>
      <c r="X246">
        <f>D246*Food_DB!$D$2+E246/100*Food_DB!$D$3+F246/30*Food_DB!$D$4+G246*Food_DB!$D$5+H246/100*Food_DB!$D$6+I246/100*Food_DB!$D$7+IFERROR(K246/100*VLOOKUP(J246,Food_DB!$A$2:$F$14,4,FALSE),0)+L246*Food_DB!$D$8</f>
        <v>92.999999999999986</v>
      </c>
      <c r="Y246">
        <f>D246*Food_DB!$E$2+E246/100*Food_DB!$E$3+F246/30*Food_DB!$E$4+G246*Food_DB!$E$5+H246/100*Food_DB!$E$6+I246/100*Food_DB!$E$7+IFERROR(K246/100*VLOOKUP(J246,Food_DB!$A$2:$F$14,5,FALSE),0)+L246*Food_DB!$E$8</f>
        <v>63.6</v>
      </c>
      <c r="Z246">
        <f>D246*Food_DB!$F$2+E246/100*Food_DB!$F$3+F246/30*Food_DB!$F$4+G246*Food_DB!$F$5+H246/100*Food_DB!$F$6+I246/100*Food_DB!$F$7+IFERROR(K246/100*VLOOKUP(J246,Food_DB!$A$2:$F$14,6,FALSE),0)+L246*Food_DB!$F$8</f>
        <v>178.15</v>
      </c>
      <c r="AA246">
        <v>6.5</v>
      </c>
      <c r="AB246">
        <v>30</v>
      </c>
      <c r="AC246">
        <v>0</v>
      </c>
      <c r="AD246">
        <v>0</v>
      </c>
      <c r="AE246">
        <f>Dashboard!$B$6*AA246+Dashboard!$B$6*4*AB246/60+Dashboard!$B$6*8*AC246/120+Dashboard!$B$6*7*AD246</f>
        <v>680</v>
      </c>
      <c r="AF246">
        <f>Dashboard!$B$5</f>
        <v>1700</v>
      </c>
      <c r="AG246">
        <f t="shared" si="14"/>
        <v>2720</v>
      </c>
      <c r="AH246">
        <f t="shared" si="15"/>
        <v>-1082.5</v>
      </c>
    </row>
    <row r="247" spans="1:34">
      <c r="A247">
        <v>46423</v>
      </c>
      <c r="B247" t="s">
        <v>80</v>
      </c>
      <c r="C247" t="s">
        <v>81</v>
      </c>
      <c r="D247">
        <v>2</v>
      </c>
      <c r="E247">
        <v>400</v>
      </c>
      <c r="F247">
        <v>30</v>
      </c>
      <c r="G247">
        <v>1</v>
      </c>
      <c r="H247">
        <v>150</v>
      </c>
      <c r="I247">
        <v>250</v>
      </c>
      <c r="J247" t="s">
        <v>85</v>
      </c>
      <c r="K247">
        <v>250</v>
      </c>
      <c r="L247">
        <v>3</v>
      </c>
      <c r="M247">
        <v>1000</v>
      </c>
      <c r="N247">
        <f>D247*Food_DB!$C$2</f>
        <v>150</v>
      </c>
      <c r="O247">
        <f>E247/100*Food_DB!$C$3</f>
        <v>260</v>
      </c>
      <c r="P247">
        <f>F247/30*Food_DB!$C$4</f>
        <v>111</v>
      </c>
      <c r="Q247">
        <f>G247*Food_DB!$C$5</f>
        <v>222</v>
      </c>
      <c r="R247">
        <f>H247/100*Food_DB!$C$6</f>
        <v>12</v>
      </c>
      <c r="S247">
        <f>I247/100*Food_DB!$C$7</f>
        <v>62.5</v>
      </c>
      <c r="T247">
        <f>IFERROR(K247/100*VLOOKUP(J247,Food_DB!$A$2:$F$14,3,FALSE),0)</f>
        <v>450</v>
      </c>
      <c r="U247">
        <f>L247*Food_DB!$C$8</f>
        <v>270</v>
      </c>
      <c r="V247">
        <f t="shared" si="12"/>
        <v>1000</v>
      </c>
      <c r="W247">
        <f t="shared" si="13"/>
        <v>2537.5</v>
      </c>
      <c r="X247">
        <f>D247*Food_DB!$D$2+E247/100*Food_DB!$D$3+F247/30*Food_DB!$D$4+G247*Food_DB!$D$5+H247/100*Food_DB!$D$6+I247/100*Food_DB!$D$7+IFERROR(K247/100*VLOOKUP(J247,Food_DB!$A$2:$F$14,4,FALSE),0)+L247*Food_DB!$D$8</f>
        <v>92.999999999999986</v>
      </c>
      <c r="Y247">
        <f>D247*Food_DB!$E$2+E247/100*Food_DB!$E$3+F247/30*Food_DB!$E$4+G247*Food_DB!$E$5+H247/100*Food_DB!$E$6+I247/100*Food_DB!$E$7+IFERROR(K247/100*VLOOKUP(J247,Food_DB!$A$2:$F$14,5,FALSE),0)+L247*Food_DB!$E$8</f>
        <v>51.1</v>
      </c>
      <c r="Z247">
        <f>D247*Food_DB!$F$2+E247/100*Food_DB!$F$3+F247/30*Food_DB!$F$4+G247*Food_DB!$F$5+H247/100*Food_DB!$F$6+I247/100*Food_DB!$F$7+IFERROR(K247/100*VLOOKUP(J247,Food_DB!$A$2:$F$14,6,FALSE),0)+L247*Food_DB!$F$8</f>
        <v>178.15</v>
      </c>
      <c r="AA247">
        <v>6.5</v>
      </c>
      <c r="AB247">
        <v>30</v>
      </c>
      <c r="AC247">
        <v>0</v>
      </c>
      <c r="AD247">
        <v>0</v>
      </c>
      <c r="AE247">
        <f>Dashboard!$B$6*AA247+Dashboard!$B$6*4*AB247/60+Dashboard!$B$6*8*AC247/120+Dashboard!$B$6*7*AD247</f>
        <v>680</v>
      </c>
      <c r="AF247">
        <f>Dashboard!$B$5</f>
        <v>1700</v>
      </c>
      <c r="AG247">
        <f t="shared" si="14"/>
        <v>2720</v>
      </c>
      <c r="AH247">
        <f t="shared" si="15"/>
        <v>-182.5</v>
      </c>
    </row>
    <row r="248" spans="1:34">
      <c r="A248">
        <v>46424</v>
      </c>
      <c r="B248" t="s">
        <v>83</v>
      </c>
      <c r="C248" t="s">
        <v>84</v>
      </c>
      <c r="D248">
        <v>2</v>
      </c>
      <c r="E248">
        <v>400</v>
      </c>
      <c r="F248">
        <v>30</v>
      </c>
      <c r="G248">
        <v>1</v>
      </c>
      <c r="H248">
        <v>150</v>
      </c>
      <c r="I248">
        <v>250</v>
      </c>
      <c r="J248" t="s">
        <v>87</v>
      </c>
      <c r="K248">
        <v>250</v>
      </c>
      <c r="L248">
        <v>3</v>
      </c>
      <c r="M248">
        <v>0</v>
      </c>
      <c r="N248">
        <f>D248*Food_DB!$C$2</f>
        <v>150</v>
      </c>
      <c r="O248">
        <f>E248/100*Food_DB!$C$3</f>
        <v>260</v>
      </c>
      <c r="P248">
        <f>F248/30*Food_DB!$C$4</f>
        <v>111</v>
      </c>
      <c r="Q248">
        <f>G248*Food_DB!$C$5</f>
        <v>222</v>
      </c>
      <c r="R248">
        <f>H248/100*Food_DB!$C$6</f>
        <v>12</v>
      </c>
      <c r="S248">
        <f>I248/100*Food_DB!$C$7</f>
        <v>62.5</v>
      </c>
      <c r="T248">
        <f>IFERROR(K248/100*VLOOKUP(J248,Food_DB!$A$2:$F$14,3,FALSE),0)</f>
        <v>300</v>
      </c>
      <c r="U248">
        <f>L248*Food_DB!$C$8</f>
        <v>270</v>
      </c>
      <c r="V248">
        <f t="shared" si="12"/>
        <v>0</v>
      </c>
      <c r="W248">
        <f t="shared" si="13"/>
        <v>1387.5</v>
      </c>
      <c r="X248">
        <f>D248*Food_DB!$D$2+E248/100*Food_DB!$D$3+F248/30*Food_DB!$D$4+G248*Food_DB!$D$5+H248/100*Food_DB!$D$6+I248/100*Food_DB!$D$7+IFERROR(K248/100*VLOOKUP(J248,Food_DB!$A$2:$F$14,4,FALSE),0)+L248*Food_DB!$D$8</f>
        <v>100.49999999999999</v>
      </c>
      <c r="Y248">
        <f>D248*Food_DB!$E$2+E248/100*Food_DB!$E$3+F248/30*Food_DB!$E$4+G248*Food_DB!$E$5+H248/100*Food_DB!$E$6+I248/100*Food_DB!$E$7+IFERROR(K248/100*VLOOKUP(J248,Food_DB!$A$2:$F$14,5,FALSE),0)+L248*Food_DB!$E$8</f>
        <v>32.35</v>
      </c>
      <c r="Z248">
        <f>D248*Food_DB!$F$2+E248/100*Food_DB!$F$3+F248/30*Food_DB!$F$4+G248*Food_DB!$F$5+H248/100*Food_DB!$F$6+I248/100*Food_DB!$F$7+IFERROR(K248/100*VLOOKUP(J248,Food_DB!$A$2:$F$14,6,FALSE),0)+L248*Food_DB!$F$8</f>
        <v>178.15</v>
      </c>
      <c r="AA248">
        <v>0</v>
      </c>
      <c r="AB248">
        <v>0</v>
      </c>
      <c r="AC248">
        <v>0</v>
      </c>
      <c r="AD248">
        <v>3.5</v>
      </c>
      <c r="AE248">
        <f>Dashboard!$B$6*AA248+Dashboard!$B$6*4*AB248/60+Dashboard!$B$6*8*AC248/120+Dashboard!$B$6*7*AD248</f>
        <v>1960</v>
      </c>
      <c r="AF248">
        <f>Dashboard!$B$5</f>
        <v>1700</v>
      </c>
      <c r="AG248">
        <f t="shared" si="14"/>
        <v>4000</v>
      </c>
      <c r="AH248">
        <f t="shared" si="15"/>
        <v>-2612.5</v>
      </c>
    </row>
    <row r="249" spans="1:34">
      <c r="A249">
        <v>46425</v>
      </c>
      <c r="B249" t="s">
        <v>86</v>
      </c>
      <c r="C249" t="s">
        <v>84</v>
      </c>
      <c r="D249">
        <v>2</v>
      </c>
      <c r="E249">
        <v>400</v>
      </c>
      <c r="F249">
        <v>30</v>
      </c>
      <c r="G249">
        <v>1</v>
      </c>
      <c r="H249">
        <v>150</v>
      </c>
      <c r="I249">
        <v>250</v>
      </c>
      <c r="J249" t="s">
        <v>90</v>
      </c>
      <c r="K249">
        <v>250</v>
      </c>
      <c r="L249">
        <v>3</v>
      </c>
      <c r="M249">
        <v>0</v>
      </c>
      <c r="N249">
        <f>D249*Food_DB!$C$2</f>
        <v>150</v>
      </c>
      <c r="O249">
        <f>E249/100*Food_DB!$C$3</f>
        <v>260</v>
      </c>
      <c r="P249">
        <f>F249/30*Food_DB!$C$4</f>
        <v>111</v>
      </c>
      <c r="Q249">
        <f>G249*Food_DB!$C$5</f>
        <v>222</v>
      </c>
      <c r="R249">
        <f>H249/100*Food_DB!$C$6</f>
        <v>12</v>
      </c>
      <c r="S249">
        <f>I249/100*Food_DB!$C$7</f>
        <v>62.5</v>
      </c>
      <c r="T249">
        <f>IFERROR(K249/100*VLOOKUP(J249,Food_DB!$A$2:$F$14,3,FALSE),0)</f>
        <v>575</v>
      </c>
      <c r="U249">
        <f>L249*Food_DB!$C$8</f>
        <v>270</v>
      </c>
      <c r="V249">
        <f t="shared" si="12"/>
        <v>0</v>
      </c>
      <c r="W249">
        <f t="shared" si="13"/>
        <v>1662.5</v>
      </c>
      <c r="X249">
        <f>D249*Food_DB!$D$2+E249/100*Food_DB!$D$3+F249/30*Food_DB!$D$4+G249*Food_DB!$D$5+H249/100*Food_DB!$D$6+I249/100*Food_DB!$D$7+IFERROR(K249/100*VLOOKUP(J249,Food_DB!$A$2:$F$14,4,FALSE),0)+L249*Food_DB!$D$8</f>
        <v>87.999999999999986</v>
      </c>
      <c r="Y249">
        <f>D249*Food_DB!$E$2+E249/100*Food_DB!$E$3+F249/30*Food_DB!$E$4+G249*Food_DB!$E$5+H249/100*Food_DB!$E$6+I249/100*Food_DB!$E$7+IFERROR(K249/100*VLOOKUP(J249,Food_DB!$A$2:$F$14,5,FALSE),0)+L249*Food_DB!$E$8</f>
        <v>68.599999999999994</v>
      </c>
      <c r="Z249">
        <f>D249*Food_DB!$F$2+E249/100*Food_DB!$F$3+F249/30*Food_DB!$F$4+G249*Food_DB!$F$5+H249/100*Food_DB!$F$6+I249/100*Food_DB!$F$7+IFERROR(K249/100*VLOOKUP(J249,Food_DB!$A$2:$F$14,6,FALSE),0)+L249*Food_DB!$F$8</f>
        <v>178.15</v>
      </c>
      <c r="AA249">
        <v>0</v>
      </c>
      <c r="AB249">
        <v>0</v>
      </c>
      <c r="AC249">
        <v>0</v>
      </c>
      <c r="AD249">
        <v>3.5</v>
      </c>
      <c r="AE249">
        <f>Dashboard!$B$6*AA249+Dashboard!$B$6*4*AB249/60+Dashboard!$B$6*8*AC249/120+Dashboard!$B$6*7*AD249</f>
        <v>1960</v>
      </c>
      <c r="AF249">
        <f>Dashboard!$B$5</f>
        <v>1700</v>
      </c>
      <c r="AG249">
        <f t="shared" si="14"/>
        <v>4000</v>
      </c>
      <c r="AH249">
        <f t="shared" si="15"/>
        <v>-2337.5</v>
      </c>
    </row>
    <row r="250" spans="1:34">
      <c r="A250">
        <v>46426</v>
      </c>
      <c r="B250" t="s">
        <v>88</v>
      </c>
      <c r="C250" t="s">
        <v>89</v>
      </c>
      <c r="D250">
        <v>2</v>
      </c>
      <c r="E250">
        <v>400</v>
      </c>
      <c r="F250">
        <v>30</v>
      </c>
      <c r="G250">
        <v>1</v>
      </c>
      <c r="H250">
        <v>150</v>
      </c>
      <c r="I250">
        <v>250</v>
      </c>
      <c r="J250" t="s">
        <v>82</v>
      </c>
      <c r="K250">
        <v>250</v>
      </c>
      <c r="L250">
        <v>3</v>
      </c>
      <c r="M250">
        <v>0</v>
      </c>
      <c r="N250">
        <f>D250*Food_DB!$C$2</f>
        <v>150</v>
      </c>
      <c r="O250">
        <f>E250/100*Food_DB!$C$3</f>
        <v>260</v>
      </c>
      <c r="P250">
        <f>F250/30*Food_DB!$C$4</f>
        <v>111</v>
      </c>
      <c r="Q250">
        <f>G250*Food_DB!$C$5</f>
        <v>222</v>
      </c>
      <c r="R250">
        <f>H250/100*Food_DB!$C$6</f>
        <v>12</v>
      </c>
      <c r="S250">
        <f>I250/100*Food_DB!$C$7</f>
        <v>62.5</v>
      </c>
      <c r="T250">
        <f>IFERROR(K250/100*VLOOKUP(J250,Food_DB!$A$2:$F$14,3,FALSE),0)</f>
        <v>550</v>
      </c>
      <c r="U250">
        <f>L250*Food_DB!$C$8</f>
        <v>270</v>
      </c>
      <c r="V250">
        <f t="shared" si="12"/>
        <v>0</v>
      </c>
      <c r="W250">
        <f t="shared" si="13"/>
        <v>1637.5</v>
      </c>
      <c r="X250">
        <f>D250*Food_DB!$D$2+E250/100*Food_DB!$D$3+F250/30*Food_DB!$D$4+G250*Food_DB!$D$5+H250/100*Food_DB!$D$6+I250/100*Food_DB!$D$7+IFERROR(K250/100*VLOOKUP(J250,Food_DB!$A$2:$F$14,4,FALSE),0)+L250*Food_DB!$D$8</f>
        <v>92.999999999999986</v>
      </c>
      <c r="Y250">
        <f>D250*Food_DB!$E$2+E250/100*Food_DB!$E$3+F250/30*Food_DB!$E$4+G250*Food_DB!$E$5+H250/100*Food_DB!$E$6+I250/100*Food_DB!$E$7+IFERROR(K250/100*VLOOKUP(J250,Food_DB!$A$2:$F$14,5,FALSE),0)+L250*Food_DB!$E$8</f>
        <v>63.6</v>
      </c>
      <c r="Z250">
        <f>D250*Food_DB!$F$2+E250/100*Food_DB!$F$3+F250/30*Food_DB!$F$4+G250*Food_DB!$F$5+H250/100*Food_DB!$F$6+I250/100*Food_DB!$F$7+IFERROR(K250/100*VLOOKUP(J250,Food_DB!$A$2:$F$14,6,FALSE),0)+L250*Food_DB!$F$8</f>
        <v>178.15</v>
      </c>
      <c r="AA250">
        <v>6.5</v>
      </c>
      <c r="AB250">
        <v>30</v>
      </c>
      <c r="AC250">
        <v>0</v>
      </c>
      <c r="AD250">
        <v>0</v>
      </c>
      <c r="AE250">
        <f>Dashboard!$B$6*AA250+Dashboard!$B$6*4*AB250/60+Dashboard!$B$6*8*AC250/120+Dashboard!$B$6*7*AD250</f>
        <v>680</v>
      </c>
      <c r="AF250">
        <f>Dashboard!$B$5</f>
        <v>1700</v>
      </c>
      <c r="AG250">
        <f t="shared" si="14"/>
        <v>2720</v>
      </c>
      <c r="AH250">
        <f t="shared" si="15"/>
        <v>-1082.5</v>
      </c>
    </row>
    <row r="251" spans="1:34">
      <c r="A251">
        <v>46427</v>
      </c>
      <c r="B251" t="s">
        <v>91</v>
      </c>
      <c r="C251" t="s">
        <v>89</v>
      </c>
      <c r="D251">
        <v>2</v>
      </c>
      <c r="E251">
        <v>400</v>
      </c>
      <c r="F251">
        <v>30</v>
      </c>
      <c r="G251">
        <v>1</v>
      </c>
      <c r="H251">
        <v>150</v>
      </c>
      <c r="I251">
        <v>250</v>
      </c>
      <c r="J251" t="s">
        <v>85</v>
      </c>
      <c r="K251">
        <v>250</v>
      </c>
      <c r="L251">
        <v>3</v>
      </c>
      <c r="M251">
        <v>0</v>
      </c>
      <c r="N251">
        <f>D251*Food_DB!$C$2</f>
        <v>150</v>
      </c>
      <c r="O251">
        <f>E251/100*Food_DB!$C$3</f>
        <v>260</v>
      </c>
      <c r="P251">
        <f>F251/30*Food_DB!$C$4</f>
        <v>111</v>
      </c>
      <c r="Q251">
        <f>G251*Food_DB!$C$5</f>
        <v>222</v>
      </c>
      <c r="R251">
        <f>H251/100*Food_DB!$C$6</f>
        <v>12</v>
      </c>
      <c r="S251">
        <f>I251/100*Food_DB!$C$7</f>
        <v>62.5</v>
      </c>
      <c r="T251">
        <f>IFERROR(K251/100*VLOOKUP(J251,Food_DB!$A$2:$F$14,3,FALSE),0)</f>
        <v>450</v>
      </c>
      <c r="U251">
        <f>L251*Food_DB!$C$8</f>
        <v>270</v>
      </c>
      <c r="V251">
        <f t="shared" si="12"/>
        <v>0</v>
      </c>
      <c r="W251">
        <f t="shared" si="13"/>
        <v>1537.5</v>
      </c>
      <c r="X251">
        <f>D251*Food_DB!$D$2+E251/100*Food_DB!$D$3+F251/30*Food_DB!$D$4+G251*Food_DB!$D$5+H251/100*Food_DB!$D$6+I251/100*Food_DB!$D$7+IFERROR(K251/100*VLOOKUP(J251,Food_DB!$A$2:$F$14,4,FALSE),0)+L251*Food_DB!$D$8</f>
        <v>92.999999999999986</v>
      </c>
      <c r="Y251">
        <f>D251*Food_DB!$E$2+E251/100*Food_DB!$E$3+F251/30*Food_DB!$E$4+G251*Food_DB!$E$5+H251/100*Food_DB!$E$6+I251/100*Food_DB!$E$7+IFERROR(K251/100*VLOOKUP(J251,Food_DB!$A$2:$F$14,5,FALSE),0)+L251*Food_DB!$E$8</f>
        <v>51.1</v>
      </c>
      <c r="Z251">
        <f>D251*Food_DB!$F$2+E251/100*Food_DB!$F$3+F251/30*Food_DB!$F$4+G251*Food_DB!$F$5+H251/100*Food_DB!$F$6+I251/100*Food_DB!$F$7+IFERROR(K251/100*VLOOKUP(J251,Food_DB!$A$2:$F$14,6,FALSE),0)+L251*Food_DB!$F$8</f>
        <v>178.15</v>
      </c>
      <c r="AA251">
        <v>6.5</v>
      </c>
      <c r="AB251">
        <v>30</v>
      </c>
      <c r="AC251">
        <v>0</v>
      </c>
      <c r="AD251">
        <v>0</v>
      </c>
      <c r="AE251">
        <f>Dashboard!$B$6*AA251+Dashboard!$B$6*4*AB251/60+Dashboard!$B$6*8*AC251/120+Dashboard!$B$6*7*AD251</f>
        <v>680</v>
      </c>
      <c r="AF251">
        <f>Dashboard!$B$5</f>
        <v>1700</v>
      </c>
      <c r="AG251">
        <f t="shared" si="14"/>
        <v>2720</v>
      </c>
      <c r="AH251">
        <f t="shared" si="15"/>
        <v>-1182.5</v>
      </c>
    </row>
    <row r="252" spans="1:34">
      <c r="A252">
        <v>46428</v>
      </c>
      <c r="B252" t="s">
        <v>92</v>
      </c>
      <c r="C252" t="s">
        <v>89</v>
      </c>
      <c r="D252">
        <v>2</v>
      </c>
      <c r="E252">
        <v>400</v>
      </c>
      <c r="F252">
        <v>30</v>
      </c>
      <c r="G252">
        <v>1</v>
      </c>
      <c r="H252">
        <v>150</v>
      </c>
      <c r="I252">
        <v>250</v>
      </c>
      <c r="J252" t="s">
        <v>87</v>
      </c>
      <c r="K252">
        <v>250</v>
      </c>
      <c r="L252">
        <v>3</v>
      </c>
      <c r="M252">
        <v>0</v>
      </c>
      <c r="N252">
        <f>D252*Food_DB!$C$2</f>
        <v>150</v>
      </c>
      <c r="O252">
        <f>E252/100*Food_DB!$C$3</f>
        <v>260</v>
      </c>
      <c r="P252">
        <f>F252/30*Food_DB!$C$4</f>
        <v>111</v>
      </c>
      <c r="Q252">
        <f>G252*Food_DB!$C$5</f>
        <v>222</v>
      </c>
      <c r="R252">
        <f>H252/100*Food_DB!$C$6</f>
        <v>12</v>
      </c>
      <c r="S252">
        <f>I252/100*Food_DB!$C$7</f>
        <v>62.5</v>
      </c>
      <c r="T252">
        <f>IFERROR(K252/100*VLOOKUP(J252,Food_DB!$A$2:$F$14,3,FALSE),0)</f>
        <v>300</v>
      </c>
      <c r="U252">
        <f>L252*Food_DB!$C$8</f>
        <v>270</v>
      </c>
      <c r="V252">
        <f t="shared" si="12"/>
        <v>0</v>
      </c>
      <c r="W252">
        <f t="shared" si="13"/>
        <v>1387.5</v>
      </c>
      <c r="X252">
        <f>D252*Food_DB!$D$2+E252/100*Food_DB!$D$3+F252/30*Food_DB!$D$4+G252*Food_DB!$D$5+H252/100*Food_DB!$D$6+I252/100*Food_DB!$D$7+IFERROR(K252/100*VLOOKUP(J252,Food_DB!$A$2:$F$14,4,FALSE),0)+L252*Food_DB!$D$8</f>
        <v>100.49999999999999</v>
      </c>
      <c r="Y252">
        <f>D252*Food_DB!$E$2+E252/100*Food_DB!$E$3+F252/30*Food_DB!$E$4+G252*Food_DB!$E$5+H252/100*Food_DB!$E$6+I252/100*Food_DB!$E$7+IFERROR(K252/100*VLOOKUP(J252,Food_DB!$A$2:$F$14,5,FALSE),0)+L252*Food_DB!$E$8</f>
        <v>32.35</v>
      </c>
      <c r="Z252">
        <f>D252*Food_DB!$F$2+E252/100*Food_DB!$F$3+F252/30*Food_DB!$F$4+G252*Food_DB!$F$5+H252/100*Food_DB!$F$6+I252/100*Food_DB!$F$7+IFERROR(K252/100*VLOOKUP(J252,Food_DB!$A$2:$F$14,6,FALSE),0)+L252*Food_DB!$F$8</f>
        <v>178.15</v>
      </c>
      <c r="AA252">
        <v>6.5</v>
      </c>
      <c r="AB252">
        <v>30</v>
      </c>
      <c r="AC252">
        <v>0</v>
      </c>
      <c r="AD252">
        <v>0</v>
      </c>
      <c r="AE252">
        <f>Dashboard!$B$6*AA252+Dashboard!$B$6*4*AB252/60+Dashboard!$B$6*8*AC252/120+Dashboard!$B$6*7*AD252</f>
        <v>680</v>
      </c>
      <c r="AF252">
        <f>Dashboard!$B$5</f>
        <v>1700</v>
      </c>
      <c r="AG252">
        <f t="shared" si="14"/>
        <v>2720</v>
      </c>
      <c r="AH252">
        <f t="shared" si="15"/>
        <v>-1332.5</v>
      </c>
    </row>
    <row r="253" spans="1:34">
      <c r="A253">
        <v>46429</v>
      </c>
      <c r="B253" t="s">
        <v>93</v>
      </c>
      <c r="C253" t="s">
        <v>89</v>
      </c>
      <c r="D253">
        <v>2</v>
      </c>
      <c r="E253">
        <v>400</v>
      </c>
      <c r="F253">
        <v>30</v>
      </c>
      <c r="G253">
        <v>1</v>
      </c>
      <c r="H253">
        <v>150</v>
      </c>
      <c r="I253">
        <v>250</v>
      </c>
      <c r="J253" t="s">
        <v>90</v>
      </c>
      <c r="K253">
        <v>250</v>
      </c>
      <c r="L253">
        <v>3</v>
      </c>
      <c r="M253">
        <v>0</v>
      </c>
      <c r="N253">
        <f>D253*Food_DB!$C$2</f>
        <v>150</v>
      </c>
      <c r="O253">
        <f>E253/100*Food_DB!$C$3</f>
        <v>260</v>
      </c>
      <c r="P253">
        <f>F253/30*Food_DB!$C$4</f>
        <v>111</v>
      </c>
      <c r="Q253">
        <f>G253*Food_DB!$C$5</f>
        <v>222</v>
      </c>
      <c r="R253">
        <f>H253/100*Food_DB!$C$6</f>
        <v>12</v>
      </c>
      <c r="S253">
        <f>I253/100*Food_DB!$C$7</f>
        <v>62.5</v>
      </c>
      <c r="T253">
        <f>IFERROR(K253/100*VLOOKUP(J253,Food_DB!$A$2:$F$14,3,FALSE),0)</f>
        <v>575</v>
      </c>
      <c r="U253">
        <f>L253*Food_DB!$C$8</f>
        <v>270</v>
      </c>
      <c r="V253">
        <f t="shared" si="12"/>
        <v>0</v>
      </c>
      <c r="W253">
        <f t="shared" si="13"/>
        <v>1662.5</v>
      </c>
      <c r="X253">
        <f>D253*Food_DB!$D$2+E253/100*Food_DB!$D$3+F253/30*Food_DB!$D$4+G253*Food_DB!$D$5+H253/100*Food_DB!$D$6+I253/100*Food_DB!$D$7+IFERROR(K253/100*VLOOKUP(J253,Food_DB!$A$2:$F$14,4,FALSE),0)+L253*Food_DB!$D$8</f>
        <v>87.999999999999986</v>
      </c>
      <c r="Y253">
        <f>D253*Food_DB!$E$2+E253/100*Food_DB!$E$3+F253/30*Food_DB!$E$4+G253*Food_DB!$E$5+H253/100*Food_DB!$E$6+I253/100*Food_DB!$E$7+IFERROR(K253/100*VLOOKUP(J253,Food_DB!$A$2:$F$14,5,FALSE),0)+L253*Food_DB!$E$8</f>
        <v>68.599999999999994</v>
      </c>
      <c r="Z253">
        <f>D253*Food_DB!$F$2+E253/100*Food_DB!$F$3+F253/30*Food_DB!$F$4+G253*Food_DB!$F$5+H253/100*Food_DB!$F$6+I253/100*Food_DB!$F$7+IFERROR(K253/100*VLOOKUP(J253,Food_DB!$A$2:$F$14,6,FALSE),0)+L253*Food_DB!$F$8</f>
        <v>178.15</v>
      </c>
      <c r="AA253">
        <v>6.5</v>
      </c>
      <c r="AB253">
        <v>30</v>
      </c>
      <c r="AC253">
        <v>0</v>
      </c>
      <c r="AD253">
        <v>0</v>
      </c>
      <c r="AE253">
        <f>Dashboard!$B$6*AA253+Dashboard!$B$6*4*AB253/60+Dashboard!$B$6*8*AC253/120+Dashboard!$B$6*7*AD253</f>
        <v>680</v>
      </c>
      <c r="AF253">
        <f>Dashboard!$B$5</f>
        <v>1700</v>
      </c>
      <c r="AG253">
        <f t="shared" si="14"/>
        <v>2720</v>
      </c>
      <c r="AH253">
        <f t="shared" si="15"/>
        <v>-1057.5</v>
      </c>
    </row>
    <row r="254" spans="1:34">
      <c r="A254">
        <v>46430</v>
      </c>
      <c r="B254" t="s">
        <v>80</v>
      </c>
      <c r="C254" t="s">
        <v>81</v>
      </c>
      <c r="D254">
        <v>2</v>
      </c>
      <c r="E254">
        <v>400</v>
      </c>
      <c r="F254">
        <v>30</v>
      </c>
      <c r="G254">
        <v>1</v>
      </c>
      <c r="H254">
        <v>150</v>
      </c>
      <c r="I254">
        <v>250</v>
      </c>
      <c r="J254" t="s">
        <v>82</v>
      </c>
      <c r="K254">
        <v>250</v>
      </c>
      <c r="L254">
        <v>3</v>
      </c>
      <c r="M254">
        <v>1000</v>
      </c>
      <c r="N254">
        <f>D254*Food_DB!$C$2</f>
        <v>150</v>
      </c>
      <c r="O254">
        <f>E254/100*Food_DB!$C$3</f>
        <v>260</v>
      </c>
      <c r="P254">
        <f>F254/30*Food_DB!$C$4</f>
        <v>111</v>
      </c>
      <c r="Q254">
        <f>G254*Food_DB!$C$5</f>
        <v>222</v>
      </c>
      <c r="R254">
        <f>H254/100*Food_DB!$C$6</f>
        <v>12</v>
      </c>
      <c r="S254">
        <f>I254/100*Food_DB!$C$7</f>
        <v>62.5</v>
      </c>
      <c r="T254">
        <f>IFERROR(K254/100*VLOOKUP(J254,Food_DB!$A$2:$F$14,3,FALSE),0)</f>
        <v>550</v>
      </c>
      <c r="U254">
        <f>L254*Food_DB!$C$8</f>
        <v>270</v>
      </c>
      <c r="V254">
        <f t="shared" si="12"/>
        <v>1000</v>
      </c>
      <c r="W254">
        <f t="shared" si="13"/>
        <v>2637.5</v>
      </c>
      <c r="X254">
        <f>D254*Food_DB!$D$2+E254/100*Food_DB!$D$3+F254/30*Food_DB!$D$4+G254*Food_DB!$D$5+H254/100*Food_DB!$D$6+I254/100*Food_DB!$D$7+IFERROR(K254/100*VLOOKUP(J254,Food_DB!$A$2:$F$14,4,FALSE),0)+L254*Food_DB!$D$8</f>
        <v>92.999999999999986</v>
      </c>
      <c r="Y254">
        <f>D254*Food_DB!$E$2+E254/100*Food_DB!$E$3+F254/30*Food_DB!$E$4+G254*Food_DB!$E$5+H254/100*Food_DB!$E$6+I254/100*Food_DB!$E$7+IFERROR(K254/100*VLOOKUP(J254,Food_DB!$A$2:$F$14,5,FALSE),0)+L254*Food_DB!$E$8</f>
        <v>63.6</v>
      </c>
      <c r="Z254">
        <f>D254*Food_DB!$F$2+E254/100*Food_DB!$F$3+F254/30*Food_DB!$F$4+G254*Food_DB!$F$5+H254/100*Food_DB!$F$6+I254/100*Food_DB!$F$7+IFERROR(K254/100*VLOOKUP(J254,Food_DB!$A$2:$F$14,6,FALSE),0)+L254*Food_DB!$F$8</f>
        <v>178.15</v>
      </c>
      <c r="AA254">
        <v>6.5</v>
      </c>
      <c r="AB254">
        <v>30</v>
      </c>
      <c r="AC254">
        <v>0</v>
      </c>
      <c r="AD254">
        <v>0</v>
      </c>
      <c r="AE254">
        <f>Dashboard!$B$6*AA254+Dashboard!$B$6*4*AB254/60+Dashboard!$B$6*8*AC254/120+Dashboard!$B$6*7*AD254</f>
        <v>680</v>
      </c>
      <c r="AF254">
        <f>Dashboard!$B$5</f>
        <v>1700</v>
      </c>
      <c r="AG254">
        <f t="shared" si="14"/>
        <v>2720</v>
      </c>
      <c r="AH254">
        <f t="shared" si="15"/>
        <v>-82.5</v>
      </c>
    </row>
    <row r="255" spans="1:34">
      <c r="A255">
        <v>46431</v>
      </c>
      <c r="B255" t="s">
        <v>83</v>
      </c>
      <c r="C255" t="s">
        <v>84</v>
      </c>
      <c r="D255">
        <v>2</v>
      </c>
      <c r="E255">
        <v>400</v>
      </c>
      <c r="F255">
        <v>30</v>
      </c>
      <c r="G255">
        <v>1</v>
      </c>
      <c r="H255">
        <v>150</v>
      </c>
      <c r="I255">
        <v>250</v>
      </c>
      <c r="J255" t="s">
        <v>85</v>
      </c>
      <c r="K255">
        <v>250</v>
      </c>
      <c r="L255">
        <v>3</v>
      </c>
      <c r="M255">
        <v>0</v>
      </c>
      <c r="N255">
        <f>D255*Food_DB!$C$2</f>
        <v>150</v>
      </c>
      <c r="O255">
        <f>E255/100*Food_DB!$C$3</f>
        <v>260</v>
      </c>
      <c r="P255">
        <f>F255/30*Food_DB!$C$4</f>
        <v>111</v>
      </c>
      <c r="Q255">
        <f>G255*Food_DB!$C$5</f>
        <v>222</v>
      </c>
      <c r="R255">
        <f>H255/100*Food_DB!$C$6</f>
        <v>12</v>
      </c>
      <c r="S255">
        <f>I255/100*Food_DB!$C$7</f>
        <v>62.5</v>
      </c>
      <c r="T255">
        <f>IFERROR(K255/100*VLOOKUP(J255,Food_DB!$A$2:$F$14,3,FALSE),0)</f>
        <v>450</v>
      </c>
      <c r="U255">
        <f>L255*Food_DB!$C$8</f>
        <v>270</v>
      </c>
      <c r="V255">
        <f t="shared" si="12"/>
        <v>0</v>
      </c>
      <c r="W255">
        <f t="shared" si="13"/>
        <v>1537.5</v>
      </c>
      <c r="X255">
        <f>D255*Food_DB!$D$2+E255/100*Food_DB!$D$3+F255/30*Food_DB!$D$4+G255*Food_DB!$D$5+H255/100*Food_DB!$D$6+I255/100*Food_DB!$D$7+IFERROR(K255/100*VLOOKUP(J255,Food_DB!$A$2:$F$14,4,FALSE),0)+L255*Food_DB!$D$8</f>
        <v>92.999999999999986</v>
      </c>
      <c r="Y255">
        <f>D255*Food_DB!$E$2+E255/100*Food_DB!$E$3+F255/30*Food_DB!$E$4+G255*Food_DB!$E$5+H255/100*Food_DB!$E$6+I255/100*Food_DB!$E$7+IFERROR(K255/100*VLOOKUP(J255,Food_DB!$A$2:$F$14,5,FALSE),0)+L255*Food_DB!$E$8</f>
        <v>51.1</v>
      </c>
      <c r="Z255">
        <f>D255*Food_DB!$F$2+E255/100*Food_DB!$F$3+F255/30*Food_DB!$F$4+G255*Food_DB!$F$5+H255/100*Food_DB!$F$6+I255/100*Food_DB!$F$7+IFERROR(K255/100*VLOOKUP(J255,Food_DB!$A$2:$F$14,6,FALSE),0)+L255*Food_DB!$F$8</f>
        <v>178.15</v>
      </c>
      <c r="AA255">
        <v>0</v>
      </c>
      <c r="AB255">
        <v>0</v>
      </c>
      <c r="AC255">
        <v>0</v>
      </c>
      <c r="AD255">
        <v>3.5</v>
      </c>
      <c r="AE255">
        <f>Dashboard!$B$6*AA255+Dashboard!$B$6*4*AB255/60+Dashboard!$B$6*8*AC255/120+Dashboard!$B$6*7*AD255</f>
        <v>1960</v>
      </c>
      <c r="AF255">
        <f>Dashboard!$B$5</f>
        <v>1700</v>
      </c>
      <c r="AG255">
        <f t="shared" si="14"/>
        <v>4000</v>
      </c>
      <c r="AH255">
        <f t="shared" si="15"/>
        <v>-2462.5</v>
      </c>
    </row>
    <row r="256" spans="1:34">
      <c r="A256">
        <v>46432</v>
      </c>
      <c r="B256" t="s">
        <v>86</v>
      </c>
      <c r="C256" t="s">
        <v>84</v>
      </c>
      <c r="D256">
        <v>2</v>
      </c>
      <c r="E256">
        <v>400</v>
      </c>
      <c r="F256">
        <v>30</v>
      </c>
      <c r="G256">
        <v>1</v>
      </c>
      <c r="H256">
        <v>150</v>
      </c>
      <c r="I256">
        <v>250</v>
      </c>
      <c r="J256" t="s">
        <v>87</v>
      </c>
      <c r="K256">
        <v>250</v>
      </c>
      <c r="L256">
        <v>3</v>
      </c>
      <c r="M256">
        <v>0</v>
      </c>
      <c r="N256">
        <f>D256*Food_DB!$C$2</f>
        <v>150</v>
      </c>
      <c r="O256">
        <f>E256/100*Food_DB!$C$3</f>
        <v>260</v>
      </c>
      <c r="P256">
        <f>F256/30*Food_DB!$C$4</f>
        <v>111</v>
      </c>
      <c r="Q256">
        <f>G256*Food_DB!$C$5</f>
        <v>222</v>
      </c>
      <c r="R256">
        <f>H256/100*Food_DB!$C$6</f>
        <v>12</v>
      </c>
      <c r="S256">
        <f>I256/100*Food_DB!$C$7</f>
        <v>62.5</v>
      </c>
      <c r="T256">
        <f>IFERROR(K256/100*VLOOKUP(J256,Food_DB!$A$2:$F$14,3,FALSE),0)</f>
        <v>300</v>
      </c>
      <c r="U256">
        <f>L256*Food_DB!$C$8</f>
        <v>270</v>
      </c>
      <c r="V256">
        <f t="shared" si="12"/>
        <v>0</v>
      </c>
      <c r="W256">
        <f t="shared" si="13"/>
        <v>1387.5</v>
      </c>
      <c r="X256">
        <f>D256*Food_DB!$D$2+E256/100*Food_DB!$D$3+F256/30*Food_DB!$D$4+G256*Food_DB!$D$5+H256/100*Food_DB!$D$6+I256/100*Food_DB!$D$7+IFERROR(K256/100*VLOOKUP(J256,Food_DB!$A$2:$F$14,4,FALSE),0)+L256*Food_DB!$D$8</f>
        <v>100.49999999999999</v>
      </c>
      <c r="Y256">
        <f>D256*Food_DB!$E$2+E256/100*Food_DB!$E$3+F256/30*Food_DB!$E$4+G256*Food_DB!$E$5+H256/100*Food_DB!$E$6+I256/100*Food_DB!$E$7+IFERROR(K256/100*VLOOKUP(J256,Food_DB!$A$2:$F$14,5,FALSE),0)+L256*Food_DB!$E$8</f>
        <v>32.35</v>
      </c>
      <c r="Z256">
        <f>D256*Food_DB!$F$2+E256/100*Food_DB!$F$3+F256/30*Food_DB!$F$4+G256*Food_DB!$F$5+H256/100*Food_DB!$F$6+I256/100*Food_DB!$F$7+IFERROR(K256/100*VLOOKUP(J256,Food_DB!$A$2:$F$14,6,FALSE),0)+L256*Food_DB!$F$8</f>
        <v>178.15</v>
      </c>
      <c r="AA256">
        <v>0</v>
      </c>
      <c r="AB256">
        <v>0</v>
      </c>
      <c r="AC256">
        <v>0</v>
      </c>
      <c r="AD256">
        <v>3.5</v>
      </c>
      <c r="AE256">
        <f>Dashboard!$B$6*AA256+Dashboard!$B$6*4*AB256/60+Dashboard!$B$6*8*AC256/120+Dashboard!$B$6*7*AD256</f>
        <v>1960</v>
      </c>
      <c r="AF256">
        <f>Dashboard!$B$5</f>
        <v>1700</v>
      </c>
      <c r="AG256">
        <f t="shared" si="14"/>
        <v>4000</v>
      </c>
      <c r="AH256">
        <f t="shared" si="15"/>
        <v>-2612.5</v>
      </c>
    </row>
    <row r="257" spans="1:34">
      <c r="A257">
        <v>46433</v>
      </c>
      <c r="B257" t="s">
        <v>88</v>
      </c>
      <c r="C257" t="s">
        <v>89</v>
      </c>
      <c r="D257">
        <v>2</v>
      </c>
      <c r="E257">
        <v>400</v>
      </c>
      <c r="F257">
        <v>30</v>
      </c>
      <c r="G257">
        <v>1</v>
      </c>
      <c r="H257">
        <v>150</v>
      </c>
      <c r="I257">
        <v>250</v>
      </c>
      <c r="J257" t="s">
        <v>90</v>
      </c>
      <c r="K257">
        <v>250</v>
      </c>
      <c r="L257">
        <v>3</v>
      </c>
      <c r="M257">
        <v>0</v>
      </c>
      <c r="N257">
        <f>D257*Food_DB!$C$2</f>
        <v>150</v>
      </c>
      <c r="O257">
        <f>E257/100*Food_DB!$C$3</f>
        <v>260</v>
      </c>
      <c r="P257">
        <f>F257/30*Food_DB!$C$4</f>
        <v>111</v>
      </c>
      <c r="Q257">
        <f>G257*Food_DB!$C$5</f>
        <v>222</v>
      </c>
      <c r="R257">
        <f>H257/100*Food_DB!$C$6</f>
        <v>12</v>
      </c>
      <c r="S257">
        <f>I257/100*Food_DB!$C$7</f>
        <v>62.5</v>
      </c>
      <c r="T257">
        <f>IFERROR(K257/100*VLOOKUP(J257,Food_DB!$A$2:$F$14,3,FALSE),0)</f>
        <v>575</v>
      </c>
      <c r="U257">
        <f>L257*Food_DB!$C$8</f>
        <v>270</v>
      </c>
      <c r="V257">
        <f t="shared" si="12"/>
        <v>0</v>
      </c>
      <c r="W257">
        <f t="shared" si="13"/>
        <v>1662.5</v>
      </c>
      <c r="X257">
        <f>D257*Food_DB!$D$2+E257/100*Food_DB!$D$3+F257/30*Food_DB!$D$4+G257*Food_DB!$D$5+H257/100*Food_DB!$D$6+I257/100*Food_DB!$D$7+IFERROR(K257/100*VLOOKUP(J257,Food_DB!$A$2:$F$14,4,FALSE),0)+L257*Food_DB!$D$8</f>
        <v>87.999999999999986</v>
      </c>
      <c r="Y257">
        <f>D257*Food_DB!$E$2+E257/100*Food_DB!$E$3+F257/30*Food_DB!$E$4+G257*Food_DB!$E$5+H257/100*Food_DB!$E$6+I257/100*Food_DB!$E$7+IFERROR(K257/100*VLOOKUP(J257,Food_DB!$A$2:$F$14,5,FALSE),0)+L257*Food_DB!$E$8</f>
        <v>68.599999999999994</v>
      </c>
      <c r="Z257">
        <f>D257*Food_DB!$F$2+E257/100*Food_DB!$F$3+F257/30*Food_DB!$F$4+G257*Food_DB!$F$5+H257/100*Food_DB!$F$6+I257/100*Food_DB!$F$7+IFERROR(K257/100*VLOOKUP(J257,Food_DB!$A$2:$F$14,6,FALSE),0)+L257*Food_DB!$F$8</f>
        <v>178.15</v>
      </c>
      <c r="AA257">
        <v>6.5</v>
      </c>
      <c r="AB257">
        <v>30</v>
      </c>
      <c r="AC257">
        <v>0</v>
      </c>
      <c r="AD257">
        <v>0</v>
      </c>
      <c r="AE257">
        <f>Dashboard!$B$6*AA257+Dashboard!$B$6*4*AB257/60+Dashboard!$B$6*8*AC257/120+Dashboard!$B$6*7*AD257</f>
        <v>680</v>
      </c>
      <c r="AF257">
        <f>Dashboard!$B$5</f>
        <v>1700</v>
      </c>
      <c r="AG257">
        <f t="shared" si="14"/>
        <v>2720</v>
      </c>
      <c r="AH257">
        <f t="shared" si="15"/>
        <v>-1057.5</v>
      </c>
    </row>
    <row r="258" spans="1:34">
      <c r="A258">
        <v>46434</v>
      </c>
      <c r="B258" t="s">
        <v>91</v>
      </c>
      <c r="C258" t="s">
        <v>89</v>
      </c>
      <c r="D258">
        <v>2</v>
      </c>
      <c r="E258">
        <v>400</v>
      </c>
      <c r="F258">
        <v>30</v>
      </c>
      <c r="G258">
        <v>1</v>
      </c>
      <c r="H258">
        <v>150</v>
      </c>
      <c r="I258">
        <v>250</v>
      </c>
      <c r="J258" t="s">
        <v>82</v>
      </c>
      <c r="K258">
        <v>250</v>
      </c>
      <c r="L258">
        <v>3</v>
      </c>
      <c r="M258">
        <v>0</v>
      </c>
      <c r="N258">
        <f>D258*Food_DB!$C$2</f>
        <v>150</v>
      </c>
      <c r="O258">
        <f>E258/100*Food_DB!$C$3</f>
        <v>260</v>
      </c>
      <c r="P258">
        <f>F258/30*Food_DB!$C$4</f>
        <v>111</v>
      </c>
      <c r="Q258">
        <f>G258*Food_DB!$C$5</f>
        <v>222</v>
      </c>
      <c r="R258">
        <f>H258/100*Food_DB!$C$6</f>
        <v>12</v>
      </c>
      <c r="S258">
        <f>I258/100*Food_DB!$C$7</f>
        <v>62.5</v>
      </c>
      <c r="T258">
        <f>IFERROR(K258/100*VLOOKUP(J258,Food_DB!$A$2:$F$14,3,FALSE),0)</f>
        <v>550</v>
      </c>
      <c r="U258">
        <f>L258*Food_DB!$C$8</f>
        <v>270</v>
      </c>
      <c r="V258">
        <f t="shared" ref="V258:V321" si="16">M258</f>
        <v>0</v>
      </c>
      <c r="W258">
        <f t="shared" ref="W258:W321" si="17">SUM(N258:V258)</f>
        <v>1637.5</v>
      </c>
      <c r="X258">
        <f>D258*Food_DB!$D$2+E258/100*Food_DB!$D$3+F258/30*Food_DB!$D$4+G258*Food_DB!$D$5+H258/100*Food_DB!$D$6+I258/100*Food_DB!$D$7+IFERROR(K258/100*VLOOKUP(J258,Food_DB!$A$2:$F$14,4,FALSE),0)+L258*Food_DB!$D$8</f>
        <v>92.999999999999986</v>
      </c>
      <c r="Y258">
        <f>D258*Food_DB!$E$2+E258/100*Food_DB!$E$3+F258/30*Food_DB!$E$4+G258*Food_DB!$E$5+H258/100*Food_DB!$E$6+I258/100*Food_DB!$E$7+IFERROR(K258/100*VLOOKUP(J258,Food_DB!$A$2:$F$14,5,FALSE),0)+L258*Food_DB!$E$8</f>
        <v>63.6</v>
      </c>
      <c r="Z258">
        <f>D258*Food_DB!$F$2+E258/100*Food_DB!$F$3+F258/30*Food_DB!$F$4+G258*Food_DB!$F$5+H258/100*Food_DB!$F$6+I258/100*Food_DB!$F$7+IFERROR(K258/100*VLOOKUP(J258,Food_DB!$A$2:$F$14,6,FALSE),0)+L258*Food_DB!$F$8</f>
        <v>178.15</v>
      </c>
      <c r="AA258">
        <v>6.5</v>
      </c>
      <c r="AB258">
        <v>30</v>
      </c>
      <c r="AC258">
        <v>0</v>
      </c>
      <c r="AD258">
        <v>0</v>
      </c>
      <c r="AE258">
        <f>Dashboard!$B$6*AA258+Dashboard!$B$6*4*AB258/60+Dashboard!$B$6*8*AC258/120+Dashboard!$B$6*7*AD258</f>
        <v>680</v>
      </c>
      <c r="AF258">
        <f>Dashboard!$B$5</f>
        <v>1700</v>
      </c>
      <c r="AG258">
        <f t="shared" ref="AG258:AG321" si="18">AF258*1.2+AE258</f>
        <v>2720</v>
      </c>
      <c r="AH258">
        <f t="shared" ref="AH258:AH321" si="19">W258-AG258</f>
        <v>-1082.5</v>
      </c>
    </row>
    <row r="259" spans="1:34">
      <c r="A259">
        <v>46435</v>
      </c>
      <c r="B259" t="s">
        <v>92</v>
      </c>
      <c r="C259" t="s">
        <v>89</v>
      </c>
      <c r="D259">
        <v>2</v>
      </c>
      <c r="E259">
        <v>400</v>
      </c>
      <c r="F259">
        <v>30</v>
      </c>
      <c r="G259">
        <v>1</v>
      </c>
      <c r="H259">
        <v>150</v>
      </c>
      <c r="I259">
        <v>250</v>
      </c>
      <c r="J259" t="s">
        <v>85</v>
      </c>
      <c r="K259">
        <v>250</v>
      </c>
      <c r="L259">
        <v>3</v>
      </c>
      <c r="M259">
        <v>0</v>
      </c>
      <c r="N259">
        <f>D259*Food_DB!$C$2</f>
        <v>150</v>
      </c>
      <c r="O259">
        <f>E259/100*Food_DB!$C$3</f>
        <v>260</v>
      </c>
      <c r="P259">
        <f>F259/30*Food_DB!$C$4</f>
        <v>111</v>
      </c>
      <c r="Q259">
        <f>G259*Food_DB!$C$5</f>
        <v>222</v>
      </c>
      <c r="R259">
        <f>H259/100*Food_DB!$C$6</f>
        <v>12</v>
      </c>
      <c r="S259">
        <f>I259/100*Food_DB!$C$7</f>
        <v>62.5</v>
      </c>
      <c r="T259">
        <f>IFERROR(K259/100*VLOOKUP(J259,Food_DB!$A$2:$F$14,3,FALSE),0)</f>
        <v>450</v>
      </c>
      <c r="U259">
        <f>L259*Food_DB!$C$8</f>
        <v>270</v>
      </c>
      <c r="V259">
        <f t="shared" si="16"/>
        <v>0</v>
      </c>
      <c r="W259">
        <f t="shared" si="17"/>
        <v>1537.5</v>
      </c>
      <c r="X259">
        <f>D259*Food_DB!$D$2+E259/100*Food_DB!$D$3+F259/30*Food_DB!$D$4+G259*Food_DB!$D$5+H259/100*Food_DB!$D$6+I259/100*Food_DB!$D$7+IFERROR(K259/100*VLOOKUP(J259,Food_DB!$A$2:$F$14,4,FALSE),0)+L259*Food_DB!$D$8</f>
        <v>92.999999999999986</v>
      </c>
      <c r="Y259">
        <f>D259*Food_DB!$E$2+E259/100*Food_DB!$E$3+F259/30*Food_DB!$E$4+G259*Food_DB!$E$5+H259/100*Food_DB!$E$6+I259/100*Food_DB!$E$7+IFERROR(K259/100*VLOOKUP(J259,Food_DB!$A$2:$F$14,5,FALSE),0)+L259*Food_DB!$E$8</f>
        <v>51.1</v>
      </c>
      <c r="Z259">
        <f>D259*Food_DB!$F$2+E259/100*Food_DB!$F$3+F259/30*Food_DB!$F$4+G259*Food_DB!$F$5+H259/100*Food_DB!$F$6+I259/100*Food_DB!$F$7+IFERROR(K259/100*VLOOKUP(J259,Food_DB!$A$2:$F$14,6,FALSE),0)+L259*Food_DB!$F$8</f>
        <v>178.15</v>
      </c>
      <c r="AA259">
        <v>6.5</v>
      </c>
      <c r="AB259">
        <v>30</v>
      </c>
      <c r="AC259">
        <v>0</v>
      </c>
      <c r="AD259">
        <v>0</v>
      </c>
      <c r="AE259">
        <f>Dashboard!$B$6*AA259+Dashboard!$B$6*4*AB259/60+Dashboard!$B$6*8*AC259/120+Dashboard!$B$6*7*AD259</f>
        <v>680</v>
      </c>
      <c r="AF259">
        <f>Dashboard!$B$5</f>
        <v>1700</v>
      </c>
      <c r="AG259">
        <f t="shared" si="18"/>
        <v>2720</v>
      </c>
      <c r="AH259">
        <f t="shared" si="19"/>
        <v>-1182.5</v>
      </c>
    </row>
    <row r="260" spans="1:34">
      <c r="A260">
        <v>46436</v>
      </c>
      <c r="B260" t="s">
        <v>93</v>
      </c>
      <c r="C260" t="s">
        <v>89</v>
      </c>
      <c r="D260">
        <v>2</v>
      </c>
      <c r="E260">
        <v>400</v>
      </c>
      <c r="F260">
        <v>30</v>
      </c>
      <c r="G260">
        <v>1</v>
      </c>
      <c r="H260">
        <v>150</v>
      </c>
      <c r="I260">
        <v>250</v>
      </c>
      <c r="J260" t="s">
        <v>87</v>
      </c>
      <c r="K260">
        <v>250</v>
      </c>
      <c r="L260">
        <v>3</v>
      </c>
      <c r="M260">
        <v>0</v>
      </c>
      <c r="N260">
        <f>D260*Food_DB!$C$2</f>
        <v>150</v>
      </c>
      <c r="O260">
        <f>E260/100*Food_DB!$C$3</f>
        <v>260</v>
      </c>
      <c r="P260">
        <f>F260/30*Food_DB!$C$4</f>
        <v>111</v>
      </c>
      <c r="Q260">
        <f>G260*Food_DB!$C$5</f>
        <v>222</v>
      </c>
      <c r="R260">
        <f>H260/100*Food_DB!$C$6</f>
        <v>12</v>
      </c>
      <c r="S260">
        <f>I260/100*Food_DB!$C$7</f>
        <v>62.5</v>
      </c>
      <c r="T260">
        <f>IFERROR(K260/100*VLOOKUP(J260,Food_DB!$A$2:$F$14,3,FALSE),0)</f>
        <v>300</v>
      </c>
      <c r="U260">
        <f>L260*Food_DB!$C$8</f>
        <v>270</v>
      </c>
      <c r="V260">
        <f t="shared" si="16"/>
        <v>0</v>
      </c>
      <c r="W260">
        <f t="shared" si="17"/>
        <v>1387.5</v>
      </c>
      <c r="X260">
        <f>D260*Food_DB!$D$2+E260/100*Food_DB!$D$3+F260/30*Food_DB!$D$4+G260*Food_DB!$D$5+H260/100*Food_DB!$D$6+I260/100*Food_DB!$D$7+IFERROR(K260/100*VLOOKUP(J260,Food_DB!$A$2:$F$14,4,FALSE),0)+L260*Food_DB!$D$8</f>
        <v>100.49999999999999</v>
      </c>
      <c r="Y260">
        <f>D260*Food_DB!$E$2+E260/100*Food_DB!$E$3+F260/30*Food_DB!$E$4+G260*Food_DB!$E$5+H260/100*Food_DB!$E$6+I260/100*Food_DB!$E$7+IFERROR(K260/100*VLOOKUP(J260,Food_DB!$A$2:$F$14,5,FALSE),0)+L260*Food_DB!$E$8</f>
        <v>32.35</v>
      </c>
      <c r="Z260">
        <f>D260*Food_DB!$F$2+E260/100*Food_DB!$F$3+F260/30*Food_DB!$F$4+G260*Food_DB!$F$5+H260/100*Food_DB!$F$6+I260/100*Food_DB!$F$7+IFERROR(K260/100*VLOOKUP(J260,Food_DB!$A$2:$F$14,6,FALSE),0)+L260*Food_DB!$F$8</f>
        <v>178.15</v>
      </c>
      <c r="AA260">
        <v>6.5</v>
      </c>
      <c r="AB260">
        <v>30</v>
      </c>
      <c r="AC260">
        <v>0</v>
      </c>
      <c r="AD260">
        <v>0</v>
      </c>
      <c r="AE260">
        <f>Dashboard!$B$6*AA260+Dashboard!$B$6*4*AB260/60+Dashboard!$B$6*8*AC260/120+Dashboard!$B$6*7*AD260</f>
        <v>680</v>
      </c>
      <c r="AF260">
        <f>Dashboard!$B$5</f>
        <v>1700</v>
      </c>
      <c r="AG260">
        <f t="shared" si="18"/>
        <v>2720</v>
      </c>
      <c r="AH260">
        <f t="shared" si="19"/>
        <v>-1332.5</v>
      </c>
    </row>
    <row r="261" spans="1:34">
      <c r="A261">
        <v>46437</v>
      </c>
      <c r="B261" t="s">
        <v>80</v>
      </c>
      <c r="C261" t="s">
        <v>81</v>
      </c>
      <c r="D261">
        <v>2</v>
      </c>
      <c r="E261">
        <v>400</v>
      </c>
      <c r="F261">
        <v>30</v>
      </c>
      <c r="G261">
        <v>1</v>
      </c>
      <c r="H261">
        <v>150</v>
      </c>
      <c r="I261">
        <v>250</v>
      </c>
      <c r="J261" t="s">
        <v>90</v>
      </c>
      <c r="K261">
        <v>250</v>
      </c>
      <c r="L261">
        <v>3</v>
      </c>
      <c r="M261">
        <v>1000</v>
      </c>
      <c r="N261">
        <f>D261*Food_DB!$C$2</f>
        <v>150</v>
      </c>
      <c r="O261">
        <f>E261/100*Food_DB!$C$3</f>
        <v>260</v>
      </c>
      <c r="P261">
        <f>F261/30*Food_DB!$C$4</f>
        <v>111</v>
      </c>
      <c r="Q261">
        <f>G261*Food_DB!$C$5</f>
        <v>222</v>
      </c>
      <c r="R261">
        <f>H261/100*Food_DB!$C$6</f>
        <v>12</v>
      </c>
      <c r="S261">
        <f>I261/100*Food_DB!$C$7</f>
        <v>62.5</v>
      </c>
      <c r="T261">
        <f>IFERROR(K261/100*VLOOKUP(J261,Food_DB!$A$2:$F$14,3,FALSE),0)</f>
        <v>575</v>
      </c>
      <c r="U261">
        <f>L261*Food_DB!$C$8</f>
        <v>270</v>
      </c>
      <c r="V261">
        <f t="shared" si="16"/>
        <v>1000</v>
      </c>
      <c r="W261">
        <f t="shared" si="17"/>
        <v>2662.5</v>
      </c>
      <c r="X261">
        <f>D261*Food_DB!$D$2+E261/100*Food_DB!$D$3+F261/30*Food_DB!$D$4+G261*Food_DB!$D$5+H261/100*Food_DB!$D$6+I261/100*Food_DB!$D$7+IFERROR(K261/100*VLOOKUP(J261,Food_DB!$A$2:$F$14,4,FALSE),0)+L261*Food_DB!$D$8</f>
        <v>87.999999999999986</v>
      </c>
      <c r="Y261">
        <f>D261*Food_DB!$E$2+E261/100*Food_DB!$E$3+F261/30*Food_DB!$E$4+G261*Food_DB!$E$5+H261/100*Food_DB!$E$6+I261/100*Food_DB!$E$7+IFERROR(K261/100*VLOOKUP(J261,Food_DB!$A$2:$F$14,5,FALSE),0)+L261*Food_DB!$E$8</f>
        <v>68.599999999999994</v>
      </c>
      <c r="Z261">
        <f>D261*Food_DB!$F$2+E261/100*Food_DB!$F$3+F261/30*Food_DB!$F$4+G261*Food_DB!$F$5+H261/100*Food_DB!$F$6+I261/100*Food_DB!$F$7+IFERROR(K261/100*VLOOKUP(J261,Food_DB!$A$2:$F$14,6,FALSE),0)+L261*Food_DB!$F$8</f>
        <v>178.15</v>
      </c>
      <c r="AA261">
        <v>6.5</v>
      </c>
      <c r="AB261">
        <v>30</v>
      </c>
      <c r="AC261">
        <v>0</v>
      </c>
      <c r="AD261">
        <v>0</v>
      </c>
      <c r="AE261">
        <f>Dashboard!$B$6*AA261+Dashboard!$B$6*4*AB261/60+Dashboard!$B$6*8*AC261/120+Dashboard!$B$6*7*AD261</f>
        <v>680</v>
      </c>
      <c r="AF261">
        <f>Dashboard!$B$5</f>
        <v>1700</v>
      </c>
      <c r="AG261">
        <f t="shared" si="18"/>
        <v>2720</v>
      </c>
      <c r="AH261">
        <f t="shared" si="19"/>
        <v>-57.5</v>
      </c>
    </row>
    <row r="262" spans="1:34">
      <c r="A262">
        <v>46438</v>
      </c>
      <c r="B262" t="s">
        <v>83</v>
      </c>
      <c r="C262" t="s">
        <v>84</v>
      </c>
      <c r="D262">
        <v>2</v>
      </c>
      <c r="E262">
        <v>400</v>
      </c>
      <c r="F262">
        <v>30</v>
      </c>
      <c r="G262">
        <v>1</v>
      </c>
      <c r="H262">
        <v>150</v>
      </c>
      <c r="I262">
        <v>250</v>
      </c>
      <c r="J262" t="s">
        <v>82</v>
      </c>
      <c r="K262">
        <v>250</v>
      </c>
      <c r="L262">
        <v>3</v>
      </c>
      <c r="M262">
        <v>0</v>
      </c>
      <c r="N262">
        <f>D262*Food_DB!$C$2</f>
        <v>150</v>
      </c>
      <c r="O262">
        <f>E262/100*Food_DB!$C$3</f>
        <v>260</v>
      </c>
      <c r="P262">
        <f>F262/30*Food_DB!$C$4</f>
        <v>111</v>
      </c>
      <c r="Q262">
        <f>G262*Food_DB!$C$5</f>
        <v>222</v>
      </c>
      <c r="R262">
        <f>H262/100*Food_DB!$C$6</f>
        <v>12</v>
      </c>
      <c r="S262">
        <f>I262/100*Food_DB!$C$7</f>
        <v>62.5</v>
      </c>
      <c r="T262">
        <f>IFERROR(K262/100*VLOOKUP(J262,Food_DB!$A$2:$F$14,3,FALSE),0)</f>
        <v>550</v>
      </c>
      <c r="U262">
        <f>L262*Food_DB!$C$8</f>
        <v>270</v>
      </c>
      <c r="V262">
        <f t="shared" si="16"/>
        <v>0</v>
      </c>
      <c r="W262">
        <f t="shared" si="17"/>
        <v>1637.5</v>
      </c>
      <c r="X262">
        <f>D262*Food_DB!$D$2+E262/100*Food_DB!$D$3+F262/30*Food_DB!$D$4+G262*Food_DB!$D$5+H262/100*Food_DB!$D$6+I262/100*Food_DB!$D$7+IFERROR(K262/100*VLOOKUP(J262,Food_DB!$A$2:$F$14,4,FALSE),0)+L262*Food_DB!$D$8</f>
        <v>92.999999999999986</v>
      </c>
      <c r="Y262">
        <f>D262*Food_DB!$E$2+E262/100*Food_DB!$E$3+F262/30*Food_DB!$E$4+G262*Food_DB!$E$5+H262/100*Food_DB!$E$6+I262/100*Food_DB!$E$7+IFERROR(K262/100*VLOOKUP(J262,Food_DB!$A$2:$F$14,5,FALSE),0)+L262*Food_DB!$E$8</f>
        <v>63.6</v>
      </c>
      <c r="Z262">
        <f>D262*Food_DB!$F$2+E262/100*Food_DB!$F$3+F262/30*Food_DB!$F$4+G262*Food_DB!$F$5+H262/100*Food_DB!$F$6+I262/100*Food_DB!$F$7+IFERROR(K262/100*VLOOKUP(J262,Food_DB!$A$2:$F$14,6,FALSE),0)+L262*Food_DB!$F$8</f>
        <v>178.15</v>
      </c>
      <c r="AA262">
        <v>0</v>
      </c>
      <c r="AB262">
        <v>0</v>
      </c>
      <c r="AC262">
        <v>0</v>
      </c>
      <c r="AD262">
        <v>3.5</v>
      </c>
      <c r="AE262">
        <f>Dashboard!$B$6*AA262+Dashboard!$B$6*4*AB262/60+Dashboard!$B$6*8*AC262/120+Dashboard!$B$6*7*AD262</f>
        <v>1960</v>
      </c>
      <c r="AF262">
        <f>Dashboard!$B$5</f>
        <v>1700</v>
      </c>
      <c r="AG262">
        <f t="shared" si="18"/>
        <v>4000</v>
      </c>
      <c r="AH262">
        <f t="shared" si="19"/>
        <v>-2362.5</v>
      </c>
    </row>
    <row r="263" spans="1:34">
      <c r="A263">
        <v>46439</v>
      </c>
      <c r="B263" t="s">
        <v>86</v>
      </c>
      <c r="C263" t="s">
        <v>84</v>
      </c>
      <c r="D263">
        <v>2</v>
      </c>
      <c r="E263">
        <v>400</v>
      </c>
      <c r="F263">
        <v>30</v>
      </c>
      <c r="G263">
        <v>1</v>
      </c>
      <c r="H263">
        <v>150</v>
      </c>
      <c r="I263">
        <v>250</v>
      </c>
      <c r="J263" t="s">
        <v>85</v>
      </c>
      <c r="K263">
        <v>250</v>
      </c>
      <c r="L263">
        <v>3</v>
      </c>
      <c r="M263">
        <v>0</v>
      </c>
      <c r="N263">
        <f>D263*Food_DB!$C$2</f>
        <v>150</v>
      </c>
      <c r="O263">
        <f>E263/100*Food_DB!$C$3</f>
        <v>260</v>
      </c>
      <c r="P263">
        <f>F263/30*Food_DB!$C$4</f>
        <v>111</v>
      </c>
      <c r="Q263">
        <f>G263*Food_DB!$C$5</f>
        <v>222</v>
      </c>
      <c r="R263">
        <f>H263/100*Food_DB!$C$6</f>
        <v>12</v>
      </c>
      <c r="S263">
        <f>I263/100*Food_DB!$C$7</f>
        <v>62.5</v>
      </c>
      <c r="T263">
        <f>IFERROR(K263/100*VLOOKUP(J263,Food_DB!$A$2:$F$14,3,FALSE),0)</f>
        <v>450</v>
      </c>
      <c r="U263">
        <f>L263*Food_DB!$C$8</f>
        <v>270</v>
      </c>
      <c r="V263">
        <f t="shared" si="16"/>
        <v>0</v>
      </c>
      <c r="W263">
        <f t="shared" si="17"/>
        <v>1537.5</v>
      </c>
      <c r="X263">
        <f>D263*Food_DB!$D$2+E263/100*Food_DB!$D$3+F263/30*Food_DB!$D$4+G263*Food_DB!$D$5+H263/100*Food_DB!$D$6+I263/100*Food_DB!$D$7+IFERROR(K263/100*VLOOKUP(J263,Food_DB!$A$2:$F$14,4,FALSE),0)+L263*Food_DB!$D$8</f>
        <v>92.999999999999986</v>
      </c>
      <c r="Y263">
        <f>D263*Food_DB!$E$2+E263/100*Food_DB!$E$3+F263/30*Food_DB!$E$4+G263*Food_DB!$E$5+H263/100*Food_DB!$E$6+I263/100*Food_DB!$E$7+IFERROR(K263/100*VLOOKUP(J263,Food_DB!$A$2:$F$14,5,FALSE),0)+L263*Food_DB!$E$8</f>
        <v>51.1</v>
      </c>
      <c r="Z263">
        <f>D263*Food_DB!$F$2+E263/100*Food_DB!$F$3+F263/30*Food_DB!$F$4+G263*Food_DB!$F$5+H263/100*Food_DB!$F$6+I263/100*Food_DB!$F$7+IFERROR(K263/100*VLOOKUP(J263,Food_DB!$A$2:$F$14,6,FALSE),0)+L263*Food_DB!$F$8</f>
        <v>178.15</v>
      </c>
      <c r="AA263">
        <v>0</v>
      </c>
      <c r="AB263">
        <v>0</v>
      </c>
      <c r="AC263">
        <v>0</v>
      </c>
      <c r="AD263">
        <v>3.5</v>
      </c>
      <c r="AE263">
        <f>Dashboard!$B$6*AA263+Dashboard!$B$6*4*AB263/60+Dashboard!$B$6*8*AC263/120+Dashboard!$B$6*7*AD263</f>
        <v>1960</v>
      </c>
      <c r="AF263">
        <f>Dashboard!$B$5</f>
        <v>1700</v>
      </c>
      <c r="AG263">
        <f t="shared" si="18"/>
        <v>4000</v>
      </c>
      <c r="AH263">
        <f t="shared" si="19"/>
        <v>-2462.5</v>
      </c>
    </row>
    <row r="264" spans="1:34">
      <c r="A264">
        <v>46440</v>
      </c>
      <c r="B264" t="s">
        <v>88</v>
      </c>
      <c r="C264" t="s">
        <v>89</v>
      </c>
      <c r="D264">
        <v>2</v>
      </c>
      <c r="E264">
        <v>400</v>
      </c>
      <c r="F264">
        <v>30</v>
      </c>
      <c r="G264">
        <v>1</v>
      </c>
      <c r="H264">
        <v>150</v>
      </c>
      <c r="I264">
        <v>250</v>
      </c>
      <c r="J264" t="s">
        <v>87</v>
      </c>
      <c r="K264">
        <v>250</v>
      </c>
      <c r="L264">
        <v>3</v>
      </c>
      <c r="M264">
        <v>0</v>
      </c>
      <c r="N264">
        <f>D264*Food_DB!$C$2</f>
        <v>150</v>
      </c>
      <c r="O264">
        <f>E264/100*Food_DB!$C$3</f>
        <v>260</v>
      </c>
      <c r="P264">
        <f>F264/30*Food_DB!$C$4</f>
        <v>111</v>
      </c>
      <c r="Q264">
        <f>G264*Food_DB!$C$5</f>
        <v>222</v>
      </c>
      <c r="R264">
        <f>H264/100*Food_DB!$C$6</f>
        <v>12</v>
      </c>
      <c r="S264">
        <f>I264/100*Food_DB!$C$7</f>
        <v>62.5</v>
      </c>
      <c r="T264">
        <f>IFERROR(K264/100*VLOOKUP(J264,Food_DB!$A$2:$F$14,3,FALSE),0)</f>
        <v>300</v>
      </c>
      <c r="U264">
        <f>L264*Food_DB!$C$8</f>
        <v>270</v>
      </c>
      <c r="V264">
        <f t="shared" si="16"/>
        <v>0</v>
      </c>
      <c r="W264">
        <f t="shared" si="17"/>
        <v>1387.5</v>
      </c>
      <c r="X264">
        <f>D264*Food_DB!$D$2+E264/100*Food_DB!$D$3+F264/30*Food_DB!$D$4+G264*Food_DB!$D$5+H264/100*Food_DB!$D$6+I264/100*Food_DB!$D$7+IFERROR(K264/100*VLOOKUP(J264,Food_DB!$A$2:$F$14,4,FALSE),0)+L264*Food_DB!$D$8</f>
        <v>100.49999999999999</v>
      </c>
      <c r="Y264">
        <f>D264*Food_DB!$E$2+E264/100*Food_DB!$E$3+F264/30*Food_DB!$E$4+G264*Food_DB!$E$5+H264/100*Food_DB!$E$6+I264/100*Food_DB!$E$7+IFERROR(K264/100*VLOOKUP(J264,Food_DB!$A$2:$F$14,5,FALSE),0)+L264*Food_DB!$E$8</f>
        <v>32.35</v>
      </c>
      <c r="Z264">
        <f>D264*Food_DB!$F$2+E264/100*Food_DB!$F$3+F264/30*Food_DB!$F$4+G264*Food_DB!$F$5+H264/100*Food_DB!$F$6+I264/100*Food_DB!$F$7+IFERROR(K264/100*VLOOKUP(J264,Food_DB!$A$2:$F$14,6,FALSE),0)+L264*Food_DB!$F$8</f>
        <v>178.15</v>
      </c>
      <c r="AA264">
        <v>6.5</v>
      </c>
      <c r="AB264">
        <v>30</v>
      </c>
      <c r="AC264">
        <v>0</v>
      </c>
      <c r="AD264">
        <v>0</v>
      </c>
      <c r="AE264">
        <f>Dashboard!$B$6*AA264+Dashboard!$B$6*4*AB264/60+Dashboard!$B$6*8*AC264/120+Dashboard!$B$6*7*AD264</f>
        <v>680</v>
      </c>
      <c r="AF264">
        <f>Dashboard!$B$5</f>
        <v>1700</v>
      </c>
      <c r="AG264">
        <f t="shared" si="18"/>
        <v>2720</v>
      </c>
      <c r="AH264">
        <f t="shared" si="19"/>
        <v>-1332.5</v>
      </c>
    </row>
    <row r="265" spans="1:34">
      <c r="A265">
        <v>46441</v>
      </c>
      <c r="B265" t="s">
        <v>91</v>
      </c>
      <c r="C265" t="s">
        <v>89</v>
      </c>
      <c r="D265">
        <v>2</v>
      </c>
      <c r="E265">
        <v>400</v>
      </c>
      <c r="F265">
        <v>30</v>
      </c>
      <c r="G265">
        <v>1</v>
      </c>
      <c r="H265">
        <v>150</v>
      </c>
      <c r="I265">
        <v>250</v>
      </c>
      <c r="J265" t="s">
        <v>90</v>
      </c>
      <c r="K265">
        <v>250</v>
      </c>
      <c r="L265">
        <v>3</v>
      </c>
      <c r="M265">
        <v>0</v>
      </c>
      <c r="N265">
        <f>D265*Food_DB!$C$2</f>
        <v>150</v>
      </c>
      <c r="O265">
        <f>E265/100*Food_DB!$C$3</f>
        <v>260</v>
      </c>
      <c r="P265">
        <f>F265/30*Food_DB!$C$4</f>
        <v>111</v>
      </c>
      <c r="Q265">
        <f>G265*Food_DB!$C$5</f>
        <v>222</v>
      </c>
      <c r="R265">
        <f>H265/100*Food_DB!$C$6</f>
        <v>12</v>
      </c>
      <c r="S265">
        <f>I265/100*Food_DB!$C$7</f>
        <v>62.5</v>
      </c>
      <c r="T265">
        <f>IFERROR(K265/100*VLOOKUP(J265,Food_DB!$A$2:$F$14,3,FALSE),0)</f>
        <v>575</v>
      </c>
      <c r="U265">
        <f>L265*Food_DB!$C$8</f>
        <v>270</v>
      </c>
      <c r="V265">
        <f t="shared" si="16"/>
        <v>0</v>
      </c>
      <c r="W265">
        <f t="shared" si="17"/>
        <v>1662.5</v>
      </c>
      <c r="X265">
        <f>D265*Food_DB!$D$2+E265/100*Food_DB!$D$3+F265/30*Food_DB!$D$4+G265*Food_DB!$D$5+H265/100*Food_DB!$D$6+I265/100*Food_DB!$D$7+IFERROR(K265/100*VLOOKUP(J265,Food_DB!$A$2:$F$14,4,FALSE),0)+L265*Food_DB!$D$8</f>
        <v>87.999999999999986</v>
      </c>
      <c r="Y265">
        <f>D265*Food_DB!$E$2+E265/100*Food_DB!$E$3+F265/30*Food_DB!$E$4+G265*Food_DB!$E$5+H265/100*Food_DB!$E$6+I265/100*Food_DB!$E$7+IFERROR(K265/100*VLOOKUP(J265,Food_DB!$A$2:$F$14,5,FALSE),0)+L265*Food_DB!$E$8</f>
        <v>68.599999999999994</v>
      </c>
      <c r="Z265">
        <f>D265*Food_DB!$F$2+E265/100*Food_DB!$F$3+F265/30*Food_DB!$F$4+G265*Food_DB!$F$5+H265/100*Food_DB!$F$6+I265/100*Food_DB!$F$7+IFERROR(K265/100*VLOOKUP(J265,Food_DB!$A$2:$F$14,6,FALSE),0)+L265*Food_DB!$F$8</f>
        <v>178.15</v>
      </c>
      <c r="AA265">
        <v>6.5</v>
      </c>
      <c r="AB265">
        <v>30</v>
      </c>
      <c r="AC265">
        <v>0</v>
      </c>
      <c r="AD265">
        <v>0</v>
      </c>
      <c r="AE265">
        <f>Dashboard!$B$6*AA265+Dashboard!$B$6*4*AB265/60+Dashboard!$B$6*8*AC265/120+Dashboard!$B$6*7*AD265</f>
        <v>680</v>
      </c>
      <c r="AF265">
        <f>Dashboard!$B$5</f>
        <v>1700</v>
      </c>
      <c r="AG265">
        <f t="shared" si="18"/>
        <v>2720</v>
      </c>
      <c r="AH265">
        <f t="shared" si="19"/>
        <v>-1057.5</v>
      </c>
    </row>
    <row r="266" spans="1:34">
      <c r="A266">
        <v>46442</v>
      </c>
      <c r="B266" t="s">
        <v>92</v>
      </c>
      <c r="C266" t="s">
        <v>89</v>
      </c>
      <c r="D266">
        <v>2</v>
      </c>
      <c r="E266">
        <v>400</v>
      </c>
      <c r="F266">
        <v>30</v>
      </c>
      <c r="G266">
        <v>1</v>
      </c>
      <c r="H266">
        <v>150</v>
      </c>
      <c r="I266">
        <v>250</v>
      </c>
      <c r="J266" t="s">
        <v>82</v>
      </c>
      <c r="K266">
        <v>250</v>
      </c>
      <c r="L266">
        <v>3</v>
      </c>
      <c r="M266">
        <v>0</v>
      </c>
      <c r="N266">
        <f>D266*Food_DB!$C$2</f>
        <v>150</v>
      </c>
      <c r="O266">
        <f>E266/100*Food_DB!$C$3</f>
        <v>260</v>
      </c>
      <c r="P266">
        <f>F266/30*Food_DB!$C$4</f>
        <v>111</v>
      </c>
      <c r="Q266">
        <f>G266*Food_DB!$C$5</f>
        <v>222</v>
      </c>
      <c r="R266">
        <f>H266/100*Food_DB!$C$6</f>
        <v>12</v>
      </c>
      <c r="S266">
        <f>I266/100*Food_DB!$C$7</f>
        <v>62.5</v>
      </c>
      <c r="T266">
        <f>IFERROR(K266/100*VLOOKUP(J266,Food_DB!$A$2:$F$14,3,FALSE),0)</f>
        <v>550</v>
      </c>
      <c r="U266">
        <f>L266*Food_DB!$C$8</f>
        <v>270</v>
      </c>
      <c r="V266">
        <f t="shared" si="16"/>
        <v>0</v>
      </c>
      <c r="W266">
        <f t="shared" si="17"/>
        <v>1637.5</v>
      </c>
      <c r="X266">
        <f>D266*Food_DB!$D$2+E266/100*Food_DB!$D$3+F266/30*Food_DB!$D$4+G266*Food_DB!$D$5+H266/100*Food_DB!$D$6+I266/100*Food_DB!$D$7+IFERROR(K266/100*VLOOKUP(J266,Food_DB!$A$2:$F$14,4,FALSE),0)+L266*Food_DB!$D$8</f>
        <v>92.999999999999986</v>
      </c>
      <c r="Y266">
        <f>D266*Food_DB!$E$2+E266/100*Food_DB!$E$3+F266/30*Food_DB!$E$4+G266*Food_DB!$E$5+H266/100*Food_DB!$E$6+I266/100*Food_DB!$E$7+IFERROR(K266/100*VLOOKUP(J266,Food_DB!$A$2:$F$14,5,FALSE),0)+L266*Food_DB!$E$8</f>
        <v>63.6</v>
      </c>
      <c r="Z266">
        <f>D266*Food_DB!$F$2+E266/100*Food_DB!$F$3+F266/30*Food_DB!$F$4+G266*Food_DB!$F$5+H266/100*Food_DB!$F$6+I266/100*Food_DB!$F$7+IFERROR(K266/100*VLOOKUP(J266,Food_DB!$A$2:$F$14,6,FALSE),0)+L266*Food_DB!$F$8</f>
        <v>178.15</v>
      </c>
      <c r="AA266">
        <v>6.5</v>
      </c>
      <c r="AB266">
        <v>30</v>
      </c>
      <c r="AC266">
        <v>0</v>
      </c>
      <c r="AD266">
        <v>0</v>
      </c>
      <c r="AE266">
        <f>Dashboard!$B$6*AA266+Dashboard!$B$6*4*AB266/60+Dashboard!$B$6*8*AC266/120+Dashboard!$B$6*7*AD266</f>
        <v>680</v>
      </c>
      <c r="AF266">
        <f>Dashboard!$B$5</f>
        <v>1700</v>
      </c>
      <c r="AG266">
        <f t="shared" si="18"/>
        <v>2720</v>
      </c>
      <c r="AH266">
        <f t="shared" si="19"/>
        <v>-1082.5</v>
      </c>
    </row>
    <row r="267" spans="1:34">
      <c r="A267">
        <v>46443</v>
      </c>
      <c r="B267" t="s">
        <v>93</v>
      </c>
      <c r="C267" t="s">
        <v>89</v>
      </c>
      <c r="D267">
        <v>2</v>
      </c>
      <c r="E267">
        <v>400</v>
      </c>
      <c r="F267">
        <v>30</v>
      </c>
      <c r="G267">
        <v>1</v>
      </c>
      <c r="H267">
        <v>150</v>
      </c>
      <c r="I267">
        <v>250</v>
      </c>
      <c r="J267" t="s">
        <v>85</v>
      </c>
      <c r="K267">
        <v>250</v>
      </c>
      <c r="L267">
        <v>3</v>
      </c>
      <c r="M267">
        <v>0</v>
      </c>
      <c r="N267">
        <f>D267*Food_DB!$C$2</f>
        <v>150</v>
      </c>
      <c r="O267">
        <f>E267/100*Food_DB!$C$3</f>
        <v>260</v>
      </c>
      <c r="P267">
        <f>F267/30*Food_DB!$C$4</f>
        <v>111</v>
      </c>
      <c r="Q267">
        <f>G267*Food_DB!$C$5</f>
        <v>222</v>
      </c>
      <c r="R267">
        <f>H267/100*Food_DB!$C$6</f>
        <v>12</v>
      </c>
      <c r="S267">
        <f>I267/100*Food_DB!$C$7</f>
        <v>62.5</v>
      </c>
      <c r="T267">
        <f>IFERROR(K267/100*VLOOKUP(J267,Food_DB!$A$2:$F$14,3,FALSE),0)</f>
        <v>450</v>
      </c>
      <c r="U267">
        <f>L267*Food_DB!$C$8</f>
        <v>270</v>
      </c>
      <c r="V267">
        <f t="shared" si="16"/>
        <v>0</v>
      </c>
      <c r="W267">
        <f t="shared" si="17"/>
        <v>1537.5</v>
      </c>
      <c r="X267">
        <f>D267*Food_DB!$D$2+E267/100*Food_DB!$D$3+F267/30*Food_DB!$D$4+G267*Food_DB!$D$5+H267/100*Food_DB!$D$6+I267/100*Food_DB!$D$7+IFERROR(K267/100*VLOOKUP(J267,Food_DB!$A$2:$F$14,4,FALSE),0)+L267*Food_DB!$D$8</f>
        <v>92.999999999999986</v>
      </c>
      <c r="Y267">
        <f>D267*Food_DB!$E$2+E267/100*Food_DB!$E$3+F267/30*Food_DB!$E$4+G267*Food_DB!$E$5+H267/100*Food_DB!$E$6+I267/100*Food_DB!$E$7+IFERROR(K267/100*VLOOKUP(J267,Food_DB!$A$2:$F$14,5,FALSE),0)+L267*Food_DB!$E$8</f>
        <v>51.1</v>
      </c>
      <c r="Z267">
        <f>D267*Food_DB!$F$2+E267/100*Food_DB!$F$3+F267/30*Food_DB!$F$4+G267*Food_DB!$F$5+H267/100*Food_DB!$F$6+I267/100*Food_DB!$F$7+IFERROR(K267/100*VLOOKUP(J267,Food_DB!$A$2:$F$14,6,FALSE),0)+L267*Food_DB!$F$8</f>
        <v>178.15</v>
      </c>
      <c r="AA267">
        <v>6.5</v>
      </c>
      <c r="AB267">
        <v>30</v>
      </c>
      <c r="AC267">
        <v>0</v>
      </c>
      <c r="AD267">
        <v>0</v>
      </c>
      <c r="AE267">
        <f>Dashboard!$B$6*AA267+Dashboard!$B$6*4*AB267/60+Dashboard!$B$6*8*AC267/120+Dashboard!$B$6*7*AD267</f>
        <v>680</v>
      </c>
      <c r="AF267">
        <f>Dashboard!$B$5</f>
        <v>1700</v>
      </c>
      <c r="AG267">
        <f t="shared" si="18"/>
        <v>2720</v>
      </c>
      <c r="AH267">
        <f t="shared" si="19"/>
        <v>-1182.5</v>
      </c>
    </row>
    <row r="268" spans="1:34">
      <c r="A268">
        <v>46444</v>
      </c>
      <c r="B268" t="s">
        <v>80</v>
      </c>
      <c r="C268" t="s">
        <v>81</v>
      </c>
      <c r="D268">
        <v>2</v>
      </c>
      <c r="E268">
        <v>400</v>
      </c>
      <c r="F268">
        <v>30</v>
      </c>
      <c r="G268">
        <v>1</v>
      </c>
      <c r="H268">
        <v>150</v>
      </c>
      <c r="I268">
        <v>250</v>
      </c>
      <c r="J268" t="s">
        <v>87</v>
      </c>
      <c r="K268">
        <v>250</v>
      </c>
      <c r="L268">
        <v>3</v>
      </c>
      <c r="M268">
        <v>1000</v>
      </c>
      <c r="N268">
        <f>D268*Food_DB!$C$2</f>
        <v>150</v>
      </c>
      <c r="O268">
        <f>E268/100*Food_DB!$C$3</f>
        <v>260</v>
      </c>
      <c r="P268">
        <f>F268/30*Food_DB!$C$4</f>
        <v>111</v>
      </c>
      <c r="Q268">
        <f>G268*Food_DB!$C$5</f>
        <v>222</v>
      </c>
      <c r="R268">
        <f>H268/100*Food_DB!$C$6</f>
        <v>12</v>
      </c>
      <c r="S268">
        <f>I268/100*Food_DB!$C$7</f>
        <v>62.5</v>
      </c>
      <c r="T268">
        <f>IFERROR(K268/100*VLOOKUP(J268,Food_DB!$A$2:$F$14,3,FALSE),0)</f>
        <v>300</v>
      </c>
      <c r="U268">
        <f>L268*Food_DB!$C$8</f>
        <v>270</v>
      </c>
      <c r="V268">
        <f t="shared" si="16"/>
        <v>1000</v>
      </c>
      <c r="W268">
        <f t="shared" si="17"/>
        <v>2387.5</v>
      </c>
      <c r="X268">
        <f>D268*Food_DB!$D$2+E268/100*Food_DB!$D$3+F268/30*Food_DB!$D$4+G268*Food_DB!$D$5+H268/100*Food_DB!$D$6+I268/100*Food_DB!$D$7+IFERROR(K268/100*VLOOKUP(J268,Food_DB!$A$2:$F$14,4,FALSE),0)+L268*Food_DB!$D$8</f>
        <v>100.49999999999999</v>
      </c>
      <c r="Y268">
        <f>D268*Food_DB!$E$2+E268/100*Food_DB!$E$3+F268/30*Food_DB!$E$4+G268*Food_DB!$E$5+H268/100*Food_DB!$E$6+I268/100*Food_DB!$E$7+IFERROR(K268/100*VLOOKUP(J268,Food_DB!$A$2:$F$14,5,FALSE),0)+L268*Food_DB!$E$8</f>
        <v>32.35</v>
      </c>
      <c r="Z268">
        <f>D268*Food_DB!$F$2+E268/100*Food_DB!$F$3+F268/30*Food_DB!$F$4+G268*Food_DB!$F$5+H268/100*Food_DB!$F$6+I268/100*Food_DB!$F$7+IFERROR(K268/100*VLOOKUP(J268,Food_DB!$A$2:$F$14,6,FALSE),0)+L268*Food_DB!$F$8</f>
        <v>178.15</v>
      </c>
      <c r="AA268">
        <v>6.5</v>
      </c>
      <c r="AB268">
        <v>30</v>
      </c>
      <c r="AC268">
        <v>0</v>
      </c>
      <c r="AD268">
        <v>0</v>
      </c>
      <c r="AE268">
        <f>Dashboard!$B$6*AA268+Dashboard!$B$6*4*AB268/60+Dashboard!$B$6*8*AC268/120+Dashboard!$B$6*7*AD268</f>
        <v>680</v>
      </c>
      <c r="AF268">
        <f>Dashboard!$B$5</f>
        <v>1700</v>
      </c>
      <c r="AG268">
        <f t="shared" si="18"/>
        <v>2720</v>
      </c>
      <c r="AH268">
        <f t="shared" si="19"/>
        <v>-332.5</v>
      </c>
    </row>
    <row r="269" spans="1:34">
      <c r="A269">
        <v>46445</v>
      </c>
      <c r="B269" t="s">
        <v>83</v>
      </c>
      <c r="C269" t="s">
        <v>84</v>
      </c>
      <c r="D269">
        <v>2</v>
      </c>
      <c r="E269">
        <v>400</v>
      </c>
      <c r="F269">
        <v>30</v>
      </c>
      <c r="G269">
        <v>1</v>
      </c>
      <c r="H269">
        <v>150</v>
      </c>
      <c r="I269">
        <v>250</v>
      </c>
      <c r="J269" t="s">
        <v>90</v>
      </c>
      <c r="K269">
        <v>250</v>
      </c>
      <c r="L269">
        <v>3</v>
      </c>
      <c r="M269">
        <v>0</v>
      </c>
      <c r="N269">
        <f>D269*Food_DB!$C$2</f>
        <v>150</v>
      </c>
      <c r="O269">
        <f>E269/100*Food_DB!$C$3</f>
        <v>260</v>
      </c>
      <c r="P269">
        <f>F269/30*Food_DB!$C$4</f>
        <v>111</v>
      </c>
      <c r="Q269">
        <f>G269*Food_DB!$C$5</f>
        <v>222</v>
      </c>
      <c r="R269">
        <f>H269/100*Food_DB!$C$6</f>
        <v>12</v>
      </c>
      <c r="S269">
        <f>I269/100*Food_DB!$C$7</f>
        <v>62.5</v>
      </c>
      <c r="T269">
        <f>IFERROR(K269/100*VLOOKUP(J269,Food_DB!$A$2:$F$14,3,FALSE),0)</f>
        <v>575</v>
      </c>
      <c r="U269">
        <f>L269*Food_DB!$C$8</f>
        <v>270</v>
      </c>
      <c r="V269">
        <f t="shared" si="16"/>
        <v>0</v>
      </c>
      <c r="W269">
        <f t="shared" si="17"/>
        <v>1662.5</v>
      </c>
      <c r="X269">
        <f>D269*Food_DB!$D$2+E269/100*Food_DB!$D$3+F269/30*Food_DB!$D$4+G269*Food_DB!$D$5+H269/100*Food_DB!$D$6+I269/100*Food_DB!$D$7+IFERROR(K269/100*VLOOKUP(J269,Food_DB!$A$2:$F$14,4,FALSE),0)+L269*Food_DB!$D$8</f>
        <v>87.999999999999986</v>
      </c>
      <c r="Y269">
        <f>D269*Food_DB!$E$2+E269/100*Food_DB!$E$3+F269/30*Food_DB!$E$4+G269*Food_DB!$E$5+H269/100*Food_DB!$E$6+I269/100*Food_DB!$E$7+IFERROR(K269/100*VLOOKUP(J269,Food_DB!$A$2:$F$14,5,FALSE),0)+L269*Food_DB!$E$8</f>
        <v>68.599999999999994</v>
      </c>
      <c r="Z269">
        <f>D269*Food_DB!$F$2+E269/100*Food_DB!$F$3+F269/30*Food_DB!$F$4+G269*Food_DB!$F$5+H269/100*Food_DB!$F$6+I269/100*Food_DB!$F$7+IFERROR(K269/100*VLOOKUP(J269,Food_DB!$A$2:$F$14,6,FALSE),0)+L269*Food_DB!$F$8</f>
        <v>178.15</v>
      </c>
      <c r="AA269">
        <v>0</v>
      </c>
      <c r="AB269">
        <v>0</v>
      </c>
      <c r="AC269">
        <v>0</v>
      </c>
      <c r="AD269">
        <v>3.5</v>
      </c>
      <c r="AE269">
        <f>Dashboard!$B$6*AA269+Dashboard!$B$6*4*AB269/60+Dashboard!$B$6*8*AC269/120+Dashboard!$B$6*7*AD269</f>
        <v>1960</v>
      </c>
      <c r="AF269">
        <f>Dashboard!$B$5</f>
        <v>1700</v>
      </c>
      <c r="AG269">
        <f t="shared" si="18"/>
        <v>4000</v>
      </c>
      <c r="AH269">
        <f t="shared" si="19"/>
        <v>-2337.5</v>
      </c>
    </row>
    <row r="270" spans="1:34">
      <c r="A270">
        <v>46446</v>
      </c>
      <c r="B270" t="s">
        <v>86</v>
      </c>
      <c r="C270" t="s">
        <v>84</v>
      </c>
      <c r="D270">
        <v>2</v>
      </c>
      <c r="E270">
        <v>400</v>
      </c>
      <c r="F270">
        <v>30</v>
      </c>
      <c r="G270">
        <v>1</v>
      </c>
      <c r="H270">
        <v>150</v>
      </c>
      <c r="I270">
        <v>250</v>
      </c>
      <c r="J270" t="s">
        <v>82</v>
      </c>
      <c r="K270">
        <v>250</v>
      </c>
      <c r="L270">
        <v>3</v>
      </c>
      <c r="M270">
        <v>0</v>
      </c>
      <c r="N270">
        <f>D270*Food_DB!$C$2</f>
        <v>150</v>
      </c>
      <c r="O270">
        <f>E270/100*Food_DB!$C$3</f>
        <v>260</v>
      </c>
      <c r="P270">
        <f>F270/30*Food_DB!$C$4</f>
        <v>111</v>
      </c>
      <c r="Q270">
        <f>G270*Food_DB!$C$5</f>
        <v>222</v>
      </c>
      <c r="R270">
        <f>H270/100*Food_DB!$C$6</f>
        <v>12</v>
      </c>
      <c r="S270">
        <f>I270/100*Food_DB!$C$7</f>
        <v>62.5</v>
      </c>
      <c r="T270">
        <f>IFERROR(K270/100*VLOOKUP(J270,Food_DB!$A$2:$F$14,3,FALSE),0)</f>
        <v>550</v>
      </c>
      <c r="U270">
        <f>L270*Food_DB!$C$8</f>
        <v>270</v>
      </c>
      <c r="V270">
        <f t="shared" si="16"/>
        <v>0</v>
      </c>
      <c r="W270">
        <f t="shared" si="17"/>
        <v>1637.5</v>
      </c>
      <c r="X270">
        <f>D270*Food_DB!$D$2+E270/100*Food_DB!$D$3+F270/30*Food_DB!$D$4+G270*Food_DB!$D$5+H270/100*Food_DB!$D$6+I270/100*Food_DB!$D$7+IFERROR(K270/100*VLOOKUP(J270,Food_DB!$A$2:$F$14,4,FALSE),0)+L270*Food_DB!$D$8</f>
        <v>92.999999999999986</v>
      </c>
      <c r="Y270">
        <f>D270*Food_DB!$E$2+E270/100*Food_DB!$E$3+F270/30*Food_DB!$E$4+G270*Food_DB!$E$5+H270/100*Food_DB!$E$6+I270/100*Food_DB!$E$7+IFERROR(K270/100*VLOOKUP(J270,Food_DB!$A$2:$F$14,5,FALSE),0)+L270*Food_DB!$E$8</f>
        <v>63.6</v>
      </c>
      <c r="Z270">
        <f>D270*Food_DB!$F$2+E270/100*Food_DB!$F$3+F270/30*Food_DB!$F$4+G270*Food_DB!$F$5+H270/100*Food_DB!$F$6+I270/100*Food_DB!$F$7+IFERROR(K270/100*VLOOKUP(J270,Food_DB!$A$2:$F$14,6,FALSE),0)+L270*Food_DB!$F$8</f>
        <v>178.15</v>
      </c>
      <c r="AA270">
        <v>0</v>
      </c>
      <c r="AB270">
        <v>0</v>
      </c>
      <c r="AC270">
        <v>0</v>
      </c>
      <c r="AD270">
        <v>3.5</v>
      </c>
      <c r="AE270">
        <f>Dashboard!$B$6*AA270+Dashboard!$B$6*4*AB270/60+Dashboard!$B$6*8*AC270/120+Dashboard!$B$6*7*AD270</f>
        <v>1960</v>
      </c>
      <c r="AF270">
        <f>Dashboard!$B$5</f>
        <v>1700</v>
      </c>
      <c r="AG270">
        <f t="shared" si="18"/>
        <v>4000</v>
      </c>
      <c r="AH270">
        <f t="shared" si="19"/>
        <v>-2362.5</v>
      </c>
    </row>
    <row r="271" spans="1:34">
      <c r="A271">
        <v>46447</v>
      </c>
      <c r="B271" t="s">
        <v>88</v>
      </c>
      <c r="C271" t="s">
        <v>89</v>
      </c>
      <c r="D271">
        <v>2</v>
      </c>
      <c r="E271">
        <v>400</v>
      </c>
      <c r="F271">
        <v>30</v>
      </c>
      <c r="G271">
        <v>1</v>
      </c>
      <c r="H271">
        <v>150</v>
      </c>
      <c r="I271">
        <v>250</v>
      </c>
      <c r="J271" t="s">
        <v>85</v>
      </c>
      <c r="K271">
        <v>250</v>
      </c>
      <c r="L271">
        <v>3</v>
      </c>
      <c r="M271">
        <v>0</v>
      </c>
      <c r="N271">
        <f>D271*Food_DB!$C$2</f>
        <v>150</v>
      </c>
      <c r="O271">
        <f>E271/100*Food_DB!$C$3</f>
        <v>260</v>
      </c>
      <c r="P271">
        <f>F271/30*Food_DB!$C$4</f>
        <v>111</v>
      </c>
      <c r="Q271">
        <f>G271*Food_DB!$C$5</f>
        <v>222</v>
      </c>
      <c r="R271">
        <f>H271/100*Food_DB!$C$6</f>
        <v>12</v>
      </c>
      <c r="S271">
        <f>I271/100*Food_DB!$C$7</f>
        <v>62.5</v>
      </c>
      <c r="T271">
        <f>IFERROR(K271/100*VLOOKUP(J271,Food_DB!$A$2:$F$14,3,FALSE),0)</f>
        <v>450</v>
      </c>
      <c r="U271">
        <f>L271*Food_DB!$C$8</f>
        <v>270</v>
      </c>
      <c r="V271">
        <f t="shared" si="16"/>
        <v>0</v>
      </c>
      <c r="W271">
        <f t="shared" si="17"/>
        <v>1537.5</v>
      </c>
      <c r="X271">
        <f>D271*Food_DB!$D$2+E271/100*Food_DB!$D$3+F271/30*Food_DB!$D$4+G271*Food_DB!$D$5+H271/100*Food_DB!$D$6+I271/100*Food_DB!$D$7+IFERROR(K271/100*VLOOKUP(J271,Food_DB!$A$2:$F$14,4,FALSE),0)+L271*Food_DB!$D$8</f>
        <v>92.999999999999986</v>
      </c>
      <c r="Y271">
        <f>D271*Food_DB!$E$2+E271/100*Food_DB!$E$3+F271/30*Food_DB!$E$4+G271*Food_DB!$E$5+H271/100*Food_DB!$E$6+I271/100*Food_DB!$E$7+IFERROR(K271/100*VLOOKUP(J271,Food_DB!$A$2:$F$14,5,FALSE),0)+L271*Food_DB!$E$8</f>
        <v>51.1</v>
      </c>
      <c r="Z271">
        <f>D271*Food_DB!$F$2+E271/100*Food_DB!$F$3+F271/30*Food_DB!$F$4+G271*Food_DB!$F$5+H271/100*Food_DB!$F$6+I271/100*Food_DB!$F$7+IFERROR(K271/100*VLOOKUP(J271,Food_DB!$A$2:$F$14,6,FALSE),0)+L271*Food_DB!$F$8</f>
        <v>178.15</v>
      </c>
      <c r="AA271">
        <v>6.5</v>
      </c>
      <c r="AB271">
        <v>30</v>
      </c>
      <c r="AC271">
        <v>0</v>
      </c>
      <c r="AD271">
        <v>0</v>
      </c>
      <c r="AE271">
        <f>Dashboard!$B$6*AA271+Dashboard!$B$6*4*AB271/60+Dashboard!$B$6*8*AC271/120+Dashboard!$B$6*7*AD271</f>
        <v>680</v>
      </c>
      <c r="AF271">
        <f>Dashboard!$B$5</f>
        <v>1700</v>
      </c>
      <c r="AG271">
        <f t="shared" si="18"/>
        <v>2720</v>
      </c>
      <c r="AH271">
        <f t="shared" si="19"/>
        <v>-1182.5</v>
      </c>
    </row>
    <row r="272" spans="1:34">
      <c r="A272">
        <v>46448</v>
      </c>
      <c r="B272" t="s">
        <v>91</v>
      </c>
      <c r="C272" t="s">
        <v>89</v>
      </c>
      <c r="D272">
        <v>2</v>
      </c>
      <c r="E272">
        <v>400</v>
      </c>
      <c r="F272">
        <v>30</v>
      </c>
      <c r="G272">
        <v>1</v>
      </c>
      <c r="H272">
        <v>150</v>
      </c>
      <c r="I272">
        <v>250</v>
      </c>
      <c r="J272" t="s">
        <v>87</v>
      </c>
      <c r="K272">
        <v>250</v>
      </c>
      <c r="L272">
        <v>3</v>
      </c>
      <c r="M272">
        <v>0</v>
      </c>
      <c r="N272">
        <f>D272*Food_DB!$C$2</f>
        <v>150</v>
      </c>
      <c r="O272">
        <f>E272/100*Food_DB!$C$3</f>
        <v>260</v>
      </c>
      <c r="P272">
        <f>F272/30*Food_DB!$C$4</f>
        <v>111</v>
      </c>
      <c r="Q272">
        <f>G272*Food_DB!$C$5</f>
        <v>222</v>
      </c>
      <c r="R272">
        <f>H272/100*Food_DB!$C$6</f>
        <v>12</v>
      </c>
      <c r="S272">
        <f>I272/100*Food_DB!$C$7</f>
        <v>62.5</v>
      </c>
      <c r="T272">
        <f>IFERROR(K272/100*VLOOKUP(J272,Food_DB!$A$2:$F$14,3,FALSE),0)</f>
        <v>300</v>
      </c>
      <c r="U272">
        <f>L272*Food_DB!$C$8</f>
        <v>270</v>
      </c>
      <c r="V272">
        <f t="shared" si="16"/>
        <v>0</v>
      </c>
      <c r="W272">
        <f t="shared" si="17"/>
        <v>1387.5</v>
      </c>
      <c r="X272">
        <f>D272*Food_DB!$D$2+E272/100*Food_DB!$D$3+F272/30*Food_DB!$D$4+G272*Food_DB!$D$5+H272/100*Food_DB!$D$6+I272/100*Food_DB!$D$7+IFERROR(K272/100*VLOOKUP(J272,Food_DB!$A$2:$F$14,4,FALSE),0)+L272*Food_DB!$D$8</f>
        <v>100.49999999999999</v>
      </c>
      <c r="Y272">
        <f>D272*Food_DB!$E$2+E272/100*Food_DB!$E$3+F272/30*Food_DB!$E$4+G272*Food_DB!$E$5+H272/100*Food_DB!$E$6+I272/100*Food_DB!$E$7+IFERROR(K272/100*VLOOKUP(J272,Food_DB!$A$2:$F$14,5,FALSE),0)+L272*Food_DB!$E$8</f>
        <v>32.35</v>
      </c>
      <c r="Z272">
        <f>D272*Food_DB!$F$2+E272/100*Food_DB!$F$3+F272/30*Food_DB!$F$4+G272*Food_DB!$F$5+H272/100*Food_DB!$F$6+I272/100*Food_DB!$F$7+IFERROR(K272/100*VLOOKUP(J272,Food_DB!$A$2:$F$14,6,FALSE),0)+L272*Food_DB!$F$8</f>
        <v>178.15</v>
      </c>
      <c r="AA272">
        <v>6.5</v>
      </c>
      <c r="AB272">
        <v>30</v>
      </c>
      <c r="AC272">
        <v>0</v>
      </c>
      <c r="AD272">
        <v>0</v>
      </c>
      <c r="AE272">
        <f>Dashboard!$B$6*AA272+Dashboard!$B$6*4*AB272/60+Dashboard!$B$6*8*AC272/120+Dashboard!$B$6*7*AD272</f>
        <v>680</v>
      </c>
      <c r="AF272">
        <f>Dashboard!$B$5</f>
        <v>1700</v>
      </c>
      <c r="AG272">
        <f t="shared" si="18"/>
        <v>2720</v>
      </c>
      <c r="AH272">
        <f t="shared" si="19"/>
        <v>-1332.5</v>
      </c>
    </row>
    <row r="273" spans="1:34">
      <c r="A273">
        <v>46449</v>
      </c>
      <c r="B273" t="s">
        <v>92</v>
      </c>
      <c r="C273" t="s">
        <v>89</v>
      </c>
      <c r="D273">
        <v>2</v>
      </c>
      <c r="E273">
        <v>400</v>
      </c>
      <c r="F273">
        <v>30</v>
      </c>
      <c r="G273">
        <v>1</v>
      </c>
      <c r="H273">
        <v>150</v>
      </c>
      <c r="I273">
        <v>250</v>
      </c>
      <c r="J273" t="s">
        <v>90</v>
      </c>
      <c r="K273">
        <v>250</v>
      </c>
      <c r="L273">
        <v>3</v>
      </c>
      <c r="M273">
        <v>0</v>
      </c>
      <c r="N273">
        <f>D273*Food_DB!$C$2</f>
        <v>150</v>
      </c>
      <c r="O273">
        <f>E273/100*Food_DB!$C$3</f>
        <v>260</v>
      </c>
      <c r="P273">
        <f>F273/30*Food_DB!$C$4</f>
        <v>111</v>
      </c>
      <c r="Q273">
        <f>G273*Food_DB!$C$5</f>
        <v>222</v>
      </c>
      <c r="R273">
        <f>H273/100*Food_DB!$C$6</f>
        <v>12</v>
      </c>
      <c r="S273">
        <f>I273/100*Food_DB!$C$7</f>
        <v>62.5</v>
      </c>
      <c r="T273">
        <f>IFERROR(K273/100*VLOOKUP(J273,Food_DB!$A$2:$F$14,3,FALSE),0)</f>
        <v>575</v>
      </c>
      <c r="U273">
        <f>L273*Food_DB!$C$8</f>
        <v>270</v>
      </c>
      <c r="V273">
        <f t="shared" si="16"/>
        <v>0</v>
      </c>
      <c r="W273">
        <f t="shared" si="17"/>
        <v>1662.5</v>
      </c>
      <c r="X273">
        <f>D273*Food_DB!$D$2+E273/100*Food_DB!$D$3+F273/30*Food_DB!$D$4+G273*Food_DB!$D$5+H273/100*Food_DB!$D$6+I273/100*Food_DB!$D$7+IFERROR(K273/100*VLOOKUP(J273,Food_DB!$A$2:$F$14,4,FALSE),0)+L273*Food_DB!$D$8</f>
        <v>87.999999999999986</v>
      </c>
      <c r="Y273">
        <f>D273*Food_DB!$E$2+E273/100*Food_DB!$E$3+F273/30*Food_DB!$E$4+G273*Food_DB!$E$5+H273/100*Food_DB!$E$6+I273/100*Food_DB!$E$7+IFERROR(K273/100*VLOOKUP(J273,Food_DB!$A$2:$F$14,5,FALSE),0)+L273*Food_DB!$E$8</f>
        <v>68.599999999999994</v>
      </c>
      <c r="Z273">
        <f>D273*Food_DB!$F$2+E273/100*Food_DB!$F$3+F273/30*Food_DB!$F$4+G273*Food_DB!$F$5+H273/100*Food_DB!$F$6+I273/100*Food_DB!$F$7+IFERROR(K273/100*VLOOKUP(J273,Food_DB!$A$2:$F$14,6,FALSE),0)+L273*Food_DB!$F$8</f>
        <v>178.15</v>
      </c>
      <c r="AA273">
        <v>6.5</v>
      </c>
      <c r="AB273">
        <v>30</v>
      </c>
      <c r="AC273">
        <v>0</v>
      </c>
      <c r="AD273">
        <v>0</v>
      </c>
      <c r="AE273">
        <f>Dashboard!$B$6*AA273+Dashboard!$B$6*4*AB273/60+Dashboard!$B$6*8*AC273/120+Dashboard!$B$6*7*AD273</f>
        <v>680</v>
      </c>
      <c r="AF273">
        <f>Dashboard!$B$5</f>
        <v>1700</v>
      </c>
      <c r="AG273">
        <f t="shared" si="18"/>
        <v>2720</v>
      </c>
      <c r="AH273">
        <f t="shared" si="19"/>
        <v>-1057.5</v>
      </c>
    </row>
    <row r="274" spans="1:34">
      <c r="A274">
        <v>46450</v>
      </c>
      <c r="B274" t="s">
        <v>93</v>
      </c>
      <c r="C274" t="s">
        <v>89</v>
      </c>
      <c r="D274">
        <v>2</v>
      </c>
      <c r="E274">
        <v>400</v>
      </c>
      <c r="F274">
        <v>30</v>
      </c>
      <c r="G274">
        <v>1</v>
      </c>
      <c r="H274">
        <v>150</v>
      </c>
      <c r="I274">
        <v>250</v>
      </c>
      <c r="J274" t="s">
        <v>82</v>
      </c>
      <c r="K274">
        <v>250</v>
      </c>
      <c r="L274">
        <v>3</v>
      </c>
      <c r="M274">
        <v>0</v>
      </c>
      <c r="N274">
        <f>D274*Food_DB!$C$2</f>
        <v>150</v>
      </c>
      <c r="O274">
        <f>E274/100*Food_DB!$C$3</f>
        <v>260</v>
      </c>
      <c r="P274">
        <f>F274/30*Food_DB!$C$4</f>
        <v>111</v>
      </c>
      <c r="Q274">
        <f>G274*Food_DB!$C$5</f>
        <v>222</v>
      </c>
      <c r="R274">
        <f>H274/100*Food_DB!$C$6</f>
        <v>12</v>
      </c>
      <c r="S274">
        <f>I274/100*Food_DB!$C$7</f>
        <v>62.5</v>
      </c>
      <c r="T274">
        <f>IFERROR(K274/100*VLOOKUP(J274,Food_DB!$A$2:$F$14,3,FALSE),0)</f>
        <v>550</v>
      </c>
      <c r="U274">
        <f>L274*Food_DB!$C$8</f>
        <v>270</v>
      </c>
      <c r="V274">
        <f t="shared" si="16"/>
        <v>0</v>
      </c>
      <c r="W274">
        <f t="shared" si="17"/>
        <v>1637.5</v>
      </c>
      <c r="X274">
        <f>D274*Food_DB!$D$2+E274/100*Food_DB!$D$3+F274/30*Food_DB!$D$4+G274*Food_DB!$D$5+H274/100*Food_DB!$D$6+I274/100*Food_DB!$D$7+IFERROR(K274/100*VLOOKUP(J274,Food_DB!$A$2:$F$14,4,FALSE),0)+L274*Food_DB!$D$8</f>
        <v>92.999999999999986</v>
      </c>
      <c r="Y274">
        <f>D274*Food_DB!$E$2+E274/100*Food_DB!$E$3+F274/30*Food_DB!$E$4+G274*Food_DB!$E$5+H274/100*Food_DB!$E$6+I274/100*Food_DB!$E$7+IFERROR(K274/100*VLOOKUP(J274,Food_DB!$A$2:$F$14,5,FALSE),0)+L274*Food_DB!$E$8</f>
        <v>63.6</v>
      </c>
      <c r="Z274">
        <f>D274*Food_DB!$F$2+E274/100*Food_DB!$F$3+F274/30*Food_DB!$F$4+G274*Food_DB!$F$5+H274/100*Food_DB!$F$6+I274/100*Food_DB!$F$7+IFERROR(K274/100*VLOOKUP(J274,Food_DB!$A$2:$F$14,6,FALSE),0)+L274*Food_DB!$F$8</f>
        <v>178.15</v>
      </c>
      <c r="AA274">
        <v>6.5</v>
      </c>
      <c r="AB274">
        <v>30</v>
      </c>
      <c r="AC274">
        <v>0</v>
      </c>
      <c r="AD274">
        <v>0</v>
      </c>
      <c r="AE274">
        <f>Dashboard!$B$6*AA274+Dashboard!$B$6*4*AB274/60+Dashboard!$B$6*8*AC274/120+Dashboard!$B$6*7*AD274</f>
        <v>680</v>
      </c>
      <c r="AF274">
        <f>Dashboard!$B$5</f>
        <v>1700</v>
      </c>
      <c r="AG274">
        <f t="shared" si="18"/>
        <v>2720</v>
      </c>
      <c r="AH274">
        <f t="shared" si="19"/>
        <v>-1082.5</v>
      </c>
    </row>
    <row r="275" spans="1:34">
      <c r="A275">
        <v>46451</v>
      </c>
      <c r="B275" t="s">
        <v>80</v>
      </c>
      <c r="C275" t="s">
        <v>81</v>
      </c>
      <c r="D275">
        <v>2</v>
      </c>
      <c r="E275">
        <v>400</v>
      </c>
      <c r="F275">
        <v>30</v>
      </c>
      <c r="G275">
        <v>1</v>
      </c>
      <c r="H275">
        <v>150</v>
      </c>
      <c r="I275">
        <v>250</v>
      </c>
      <c r="J275" t="s">
        <v>85</v>
      </c>
      <c r="K275">
        <v>250</v>
      </c>
      <c r="L275">
        <v>3</v>
      </c>
      <c r="M275">
        <v>1000</v>
      </c>
      <c r="N275">
        <f>D275*Food_DB!$C$2</f>
        <v>150</v>
      </c>
      <c r="O275">
        <f>E275/100*Food_DB!$C$3</f>
        <v>260</v>
      </c>
      <c r="P275">
        <f>F275/30*Food_DB!$C$4</f>
        <v>111</v>
      </c>
      <c r="Q275">
        <f>G275*Food_DB!$C$5</f>
        <v>222</v>
      </c>
      <c r="R275">
        <f>H275/100*Food_DB!$C$6</f>
        <v>12</v>
      </c>
      <c r="S275">
        <f>I275/100*Food_DB!$C$7</f>
        <v>62.5</v>
      </c>
      <c r="T275">
        <f>IFERROR(K275/100*VLOOKUP(J275,Food_DB!$A$2:$F$14,3,FALSE),0)</f>
        <v>450</v>
      </c>
      <c r="U275">
        <f>L275*Food_DB!$C$8</f>
        <v>270</v>
      </c>
      <c r="V275">
        <f t="shared" si="16"/>
        <v>1000</v>
      </c>
      <c r="W275">
        <f t="shared" si="17"/>
        <v>2537.5</v>
      </c>
      <c r="X275">
        <f>D275*Food_DB!$D$2+E275/100*Food_DB!$D$3+F275/30*Food_DB!$D$4+G275*Food_DB!$D$5+H275/100*Food_DB!$D$6+I275/100*Food_DB!$D$7+IFERROR(K275/100*VLOOKUP(J275,Food_DB!$A$2:$F$14,4,FALSE),0)+L275*Food_DB!$D$8</f>
        <v>92.999999999999986</v>
      </c>
      <c r="Y275">
        <f>D275*Food_DB!$E$2+E275/100*Food_DB!$E$3+F275/30*Food_DB!$E$4+G275*Food_DB!$E$5+H275/100*Food_DB!$E$6+I275/100*Food_DB!$E$7+IFERROR(K275/100*VLOOKUP(J275,Food_DB!$A$2:$F$14,5,FALSE),0)+L275*Food_DB!$E$8</f>
        <v>51.1</v>
      </c>
      <c r="Z275">
        <f>D275*Food_DB!$F$2+E275/100*Food_DB!$F$3+F275/30*Food_DB!$F$4+G275*Food_DB!$F$5+H275/100*Food_DB!$F$6+I275/100*Food_DB!$F$7+IFERROR(K275/100*VLOOKUP(J275,Food_DB!$A$2:$F$14,6,FALSE),0)+L275*Food_DB!$F$8</f>
        <v>178.15</v>
      </c>
      <c r="AA275">
        <v>6.5</v>
      </c>
      <c r="AB275">
        <v>30</v>
      </c>
      <c r="AC275">
        <v>0</v>
      </c>
      <c r="AD275">
        <v>0</v>
      </c>
      <c r="AE275">
        <f>Dashboard!$B$6*AA275+Dashboard!$B$6*4*AB275/60+Dashboard!$B$6*8*AC275/120+Dashboard!$B$6*7*AD275</f>
        <v>680</v>
      </c>
      <c r="AF275">
        <f>Dashboard!$B$5</f>
        <v>1700</v>
      </c>
      <c r="AG275">
        <f t="shared" si="18"/>
        <v>2720</v>
      </c>
      <c r="AH275">
        <f t="shared" si="19"/>
        <v>-182.5</v>
      </c>
    </row>
    <row r="276" spans="1:34">
      <c r="A276">
        <v>46452</v>
      </c>
      <c r="B276" t="s">
        <v>83</v>
      </c>
      <c r="C276" t="s">
        <v>84</v>
      </c>
      <c r="D276">
        <v>2</v>
      </c>
      <c r="E276">
        <v>400</v>
      </c>
      <c r="F276">
        <v>30</v>
      </c>
      <c r="G276">
        <v>1</v>
      </c>
      <c r="H276">
        <v>150</v>
      </c>
      <c r="I276">
        <v>250</v>
      </c>
      <c r="J276" t="s">
        <v>87</v>
      </c>
      <c r="K276">
        <v>250</v>
      </c>
      <c r="L276">
        <v>3</v>
      </c>
      <c r="M276">
        <v>0</v>
      </c>
      <c r="N276">
        <f>D276*Food_DB!$C$2</f>
        <v>150</v>
      </c>
      <c r="O276">
        <f>E276/100*Food_DB!$C$3</f>
        <v>260</v>
      </c>
      <c r="P276">
        <f>F276/30*Food_DB!$C$4</f>
        <v>111</v>
      </c>
      <c r="Q276">
        <f>G276*Food_DB!$C$5</f>
        <v>222</v>
      </c>
      <c r="R276">
        <f>H276/100*Food_DB!$C$6</f>
        <v>12</v>
      </c>
      <c r="S276">
        <f>I276/100*Food_DB!$C$7</f>
        <v>62.5</v>
      </c>
      <c r="T276">
        <f>IFERROR(K276/100*VLOOKUP(J276,Food_DB!$A$2:$F$14,3,FALSE),0)</f>
        <v>300</v>
      </c>
      <c r="U276">
        <f>L276*Food_DB!$C$8</f>
        <v>270</v>
      </c>
      <c r="V276">
        <f t="shared" si="16"/>
        <v>0</v>
      </c>
      <c r="W276">
        <f t="shared" si="17"/>
        <v>1387.5</v>
      </c>
      <c r="X276">
        <f>D276*Food_DB!$D$2+E276/100*Food_DB!$D$3+F276/30*Food_DB!$D$4+G276*Food_DB!$D$5+H276/100*Food_DB!$D$6+I276/100*Food_DB!$D$7+IFERROR(K276/100*VLOOKUP(J276,Food_DB!$A$2:$F$14,4,FALSE),0)+L276*Food_DB!$D$8</f>
        <v>100.49999999999999</v>
      </c>
      <c r="Y276">
        <f>D276*Food_DB!$E$2+E276/100*Food_DB!$E$3+F276/30*Food_DB!$E$4+G276*Food_DB!$E$5+H276/100*Food_DB!$E$6+I276/100*Food_DB!$E$7+IFERROR(K276/100*VLOOKUP(J276,Food_DB!$A$2:$F$14,5,FALSE),0)+L276*Food_DB!$E$8</f>
        <v>32.35</v>
      </c>
      <c r="Z276">
        <f>D276*Food_DB!$F$2+E276/100*Food_DB!$F$3+F276/30*Food_DB!$F$4+G276*Food_DB!$F$5+H276/100*Food_DB!$F$6+I276/100*Food_DB!$F$7+IFERROR(K276/100*VLOOKUP(J276,Food_DB!$A$2:$F$14,6,FALSE),0)+L276*Food_DB!$F$8</f>
        <v>178.15</v>
      </c>
      <c r="AA276">
        <v>0</v>
      </c>
      <c r="AB276">
        <v>0</v>
      </c>
      <c r="AC276">
        <v>0</v>
      </c>
      <c r="AD276">
        <v>3.5</v>
      </c>
      <c r="AE276">
        <f>Dashboard!$B$6*AA276+Dashboard!$B$6*4*AB276/60+Dashboard!$B$6*8*AC276/120+Dashboard!$B$6*7*AD276</f>
        <v>1960</v>
      </c>
      <c r="AF276">
        <f>Dashboard!$B$5</f>
        <v>1700</v>
      </c>
      <c r="AG276">
        <f t="shared" si="18"/>
        <v>4000</v>
      </c>
      <c r="AH276">
        <f t="shared" si="19"/>
        <v>-2612.5</v>
      </c>
    </row>
    <row r="277" spans="1:34">
      <c r="A277">
        <v>46453</v>
      </c>
      <c r="B277" t="s">
        <v>86</v>
      </c>
      <c r="C277" t="s">
        <v>84</v>
      </c>
      <c r="D277">
        <v>2</v>
      </c>
      <c r="E277">
        <v>400</v>
      </c>
      <c r="F277">
        <v>30</v>
      </c>
      <c r="G277">
        <v>1</v>
      </c>
      <c r="H277">
        <v>150</v>
      </c>
      <c r="I277">
        <v>250</v>
      </c>
      <c r="J277" t="s">
        <v>90</v>
      </c>
      <c r="K277">
        <v>250</v>
      </c>
      <c r="L277">
        <v>3</v>
      </c>
      <c r="M277">
        <v>0</v>
      </c>
      <c r="N277">
        <f>D277*Food_DB!$C$2</f>
        <v>150</v>
      </c>
      <c r="O277">
        <f>E277/100*Food_DB!$C$3</f>
        <v>260</v>
      </c>
      <c r="P277">
        <f>F277/30*Food_DB!$C$4</f>
        <v>111</v>
      </c>
      <c r="Q277">
        <f>G277*Food_DB!$C$5</f>
        <v>222</v>
      </c>
      <c r="R277">
        <f>H277/100*Food_DB!$C$6</f>
        <v>12</v>
      </c>
      <c r="S277">
        <f>I277/100*Food_DB!$C$7</f>
        <v>62.5</v>
      </c>
      <c r="T277">
        <f>IFERROR(K277/100*VLOOKUP(J277,Food_DB!$A$2:$F$14,3,FALSE),0)</f>
        <v>575</v>
      </c>
      <c r="U277">
        <f>L277*Food_DB!$C$8</f>
        <v>270</v>
      </c>
      <c r="V277">
        <f t="shared" si="16"/>
        <v>0</v>
      </c>
      <c r="W277">
        <f t="shared" si="17"/>
        <v>1662.5</v>
      </c>
      <c r="X277">
        <f>D277*Food_DB!$D$2+E277/100*Food_DB!$D$3+F277/30*Food_DB!$D$4+G277*Food_DB!$D$5+H277/100*Food_DB!$D$6+I277/100*Food_DB!$D$7+IFERROR(K277/100*VLOOKUP(J277,Food_DB!$A$2:$F$14,4,FALSE),0)+L277*Food_DB!$D$8</f>
        <v>87.999999999999986</v>
      </c>
      <c r="Y277">
        <f>D277*Food_DB!$E$2+E277/100*Food_DB!$E$3+F277/30*Food_DB!$E$4+G277*Food_DB!$E$5+H277/100*Food_DB!$E$6+I277/100*Food_DB!$E$7+IFERROR(K277/100*VLOOKUP(J277,Food_DB!$A$2:$F$14,5,FALSE),0)+L277*Food_DB!$E$8</f>
        <v>68.599999999999994</v>
      </c>
      <c r="Z277">
        <f>D277*Food_DB!$F$2+E277/100*Food_DB!$F$3+F277/30*Food_DB!$F$4+G277*Food_DB!$F$5+H277/100*Food_DB!$F$6+I277/100*Food_DB!$F$7+IFERROR(K277/100*VLOOKUP(J277,Food_DB!$A$2:$F$14,6,FALSE),0)+L277*Food_DB!$F$8</f>
        <v>178.15</v>
      </c>
      <c r="AA277">
        <v>0</v>
      </c>
      <c r="AB277">
        <v>0</v>
      </c>
      <c r="AC277">
        <v>0</v>
      </c>
      <c r="AD277">
        <v>3.5</v>
      </c>
      <c r="AE277">
        <f>Dashboard!$B$6*AA277+Dashboard!$B$6*4*AB277/60+Dashboard!$B$6*8*AC277/120+Dashboard!$B$6*7*AD277</f>
        <v>1960</v>
      </c>
      <c r="AF277">
        <f>Dashboard!$B$5</f>
        <v>1700</v>
      </c>
      <c r="AG277">
        <f t="shared" si="18"/>
        <v>4000</v>
      </c>
      <c r="AH277">
        <f t="shared" si="19"/>
        <v>-2337.5</v>
      </c>
    </row>
    <row r="278" spans="1:34">
      <c r="A278">
        <v>46454</v>
      </c>
      <c r="B278" t="s">
        <v>88</v>
      </c>
      <c r="C278" t="s">
        <v>89</v>
      </c>
      <c r="D278">
        <v>2</v>
      </c>
      <c r="E278">
        <v>400</v>
      </c>
      <c r="F278">
        <v>30</v>
      </c>
      <c r="G278">
        <v>1</v>
      </c>
      <c r="H278">
        <v>150</v>
      </c>
      <c r="I278">
        <v>250</v>
      </c>
      <c r="J278" t="s">
        <v>82</v>
      </c>
      <c r="K278">
        <v>250</v>
      </c>
      <c r="L278">
        <v>3</v>
      </c>
      <c r="M278">
        <v>0</v>
      </c>
      <c r="N278">
        <f>D278*Food_DB!$C$2</f>
        <v>150</v>
      </c>
      <c r="O278">
        <f>E278/100*Food_DB!$C$3</f>
        <v>260</v>
      </c>
      <c r="P278">
        <f>F278/30*Food_DB!$C$4</f>
        <v>111</v>
      </c>
      <c r="Q278">
        <f>G278*Food_DB!$C$5</f>
        <v>222</v>
      </c>
      <c r="R278">
        <f>H278/100*Food_DB!$C$6</f>
        <v>12</v>
      </c>
      <c r="S278">
        <f>I278/100*Food_DB!$C$7</f>
        <v>62.5</v>
      </c>
      <c r="T278">
        <f>IFERROR(K278/100*VLOOKUP(J278,Food_DB!$A$2:$F$14,3,FALSE),0)</f>
        <v>550</v>
      </c>
      <c r="U278">
        <f>L278*Food_DB!$C$8</f>
        <v>270</v>
      </c>
      <c r="V278">
        <f t="shared" si="16"/>
        <v>0</v>
      </c>
      <c r="W278">
        <f t="shared" si="17"/>
        <v>1637.5</v>
      </c>
      <c r="X278">
        <f>D278*Food_DB!$D$2+E278/100*Food_DB!$D$3+F278/30*Food_DB!$D$4+G278*Food_DB!$D$5+H278/100*Food_DB!$D$6+I278/100*Food_DB!$D$7+IFERROR(K278/100*VLOOKUP(J278,Food_DB!$A$2:$F$14,4,FALSE),0)+L278*Food_DB!$D$8</f>
        <v>92.999999999999986</v>
      </c>
      <c r="Y278">
        <f>D278*Food_DB!$E$2+E278/100*Food_DB!$E$3+F278/30*Food_DB!$E$4+G278*Food_DB!$E$5+H278/100*Food_DB!$E$6+I278/100*Food_DB!$E$7+IFERROR(K278/100*VLOOKUP(J278,Food_DB!$A$2:$F$14,5,FALSE),0)+L278*Food_DB!$E$8</f>
        <v>63.6</v>
      </c>
      <c r="Z278">
        <f>D278*Food_DB!$F$2+E278/100*Food_DB!$F$3+F278/30*Food_DB!$F$4+G278*Food_DB!$F$5+H278/100*Food_DB!$F$6+I278/100*Food_DB!$F$7+IFERROR(K278/100*VLOOKUP(J278,Food_DB!$A$2:$F$14,6,FALSE),0)+L278*Food_DB!$F$8</f>
        <v>178.15</v>
      </c>
      <c r="AA278">
        <v>6.5</v>
      </c>
      <c r="AB278">
        <v>30</v>
      </c>
      <c r="AC278">
        <v>0</v>
      </c>
      <c r="AD278">
        <v>0</v>
      </c>
      <c r="AE278">
        <f>Dashboard!$B$6*AA278+Dashboard!$B$6*4*AB278/60+Dashboard!$B$6*8*AC278/120+Dashboard!$B$6*7*AD278</f>
        <v>680</v>
      </c>
      <c r="AF278">
        <f>Dashboard!$B$5</f>
        <v>1700</v>
      </c>
      <c r="AG278">
        <f t="shared" si="18"/>
        <v>2720</v>
      </c>
      <c r="AH278">
        <f t="shared" si="19"/>
        <v>-1082.5</v>
      </c>
    </row>
    <row r="279" spans="1:34">
      <c r="A279">
        <v>46455</v>
      </c>
      <c r="B279" t="s">
        <v>91</v>
      </c>
      <c r="C279" t="s">
        <v>89</v>
      </c>
      <c r="D279">
        <v>2</v>
      </c>
      <c r="E279">
        <v>400</v>
      </c>
      <c r="F279">
        <v>30</v>
      </c>
      <c r="G279">
        <v>1</v>
      </c>
      <c r="H279">
        <v>150</v>
      </c>
      <c r="I279">
        <v>250</v>
      </c>
      <c r="J279" t="s">
        <v>85</v>
      </c>
      <c r="K279">
        <v>250</v>
      </c>
      <c r="L279">
        <v>3</v>
      </c>
      <c r="M279">
        <v>0</v>
      </c>
      <c r="N279">
        <f>D279*Food_DB!$C$2</f>
        <v>150</v>
      </c>
      <c r="O279">
        <f>E279/100*Food_DB!$C$3</f>
        <v>260</v>
      </c>
      <c r="P279">
        <f>F279/30*Food_DB!$C$4</f>
        <v>111</v>
      </c>
      <c r="Q279">
        <f>G279*Food_DB!$C$5</f>
        <v>222</v>
      </c>
      <c r="R279">
        <f>H279/100*Food_DB!$C$6</f>
        <v>12</v>
      </c>
      <c r="S279">
        <f>I279/100*Food_DB!$C$7</f>
        <v>62.5</v>
      </c>
      <c r="T279">
        <f>IFERROR(K279/100*VLOOKUP(J279,Food_DB!$A$2:$F$14,3,FALSE),0)</f>
        <v>450</v>
      </c>
      <c r="U279">
        <f>L279*Food_DB!$C$8</f>
        <v>270</v>
      </c>
      <c r="V279">
        <f t="shared" si="16"/>
        <v>0</v>
      </c>
      <c r="W279">
        <f t="shared" si="17"/>
        <v>1537.5</v>
      </c>
      <c r="X279">
        <f>D279*Food_DB!$D$2+E279/100*Food_DB!$D$3+F279/30*Food_DB!$D$4+G279*Food_DB!$D$5+H279/100*Food_DB!$D$6+I279/100*Food_DB!$D$7+IFERROR(K279/100*VLOOKUP(J279,Food_DB!$A$2:$F$14,4,FALSE),0)+L279*Food_DB!$D$8</f>
        <v>92.999999999999986</v>
      </c>
      <c r="Y279">
        <f>D279*Food_DB!$E$2+E279/100*Food_DB!$E$3+F279/30*Food_DB!$E$4+G279*Food_DB!$E$5+H279/100*Food_DB!$E$6+I279/100*Food_DB!$E$7+IFERROR(K279/100*VLOOKUP(J279,Food_DB!$A$2:$F$14,5,FALSE),0)+L279*Food_DB!$E$8</f>
        <v>51.1</v>
      </c>
      <c r="Z279">
        <f>D279*Food_DB!$F$2+E279/100*Food_DB!$F$3+F279/30*Food_DB!$F$4+G279*Food_DB!$F$5+H279/100*Food_DB!$F$6+I279/100*Food_DB!$F$7+IFERROR(K279/100*VLOOKUP(J279,Food_DB!$A$2:$F$14,6,FALSE),0)+L279*Food_DB!$F$8</f>
        <v>178.15</v>
      </c>
      <c r="AA279">
        <v>6.5</v>
      </c>
      <c r="AB279">
        <v>30</v>
      </c>
      <c r="AC279">
        <v>0</v>
      </c>
      <c r="AD279">
        <v>0</v>
      </c>
      <c r="AE279">
        <f>Dashboard!$B$6*AA279+Dashboard!$B$6*4*AB279/60+Dashboard!$B$6*8*AC279/120+Dashboard!$B$6*7*AD279</f>
        <v>680</v>
      </c>
      <c r="AF279">
        <f>Dashboard!$B$5</f>
        <v>1700</v>
      </c>
      <c r="AG279">
        <f t="shared" si="18"/>
        <v>2720</v>
      </c>
      <c r="AH279">
        <f t="shared" si="19"/>
        <v>-1182.5</v>
      </c>
    </row>
    <row r="280" spans="1:34">
      <c r="A280">
        <v>46456</v>
      </c>
      <c r="B280" t="s">
        <v>92</v>
      </c>
      <c r="C280" t="s">
        <v>89</v>
      </c>
      <c r="D280">
        <v>2</v>
      </c>
      <c r="E280">
        <v>400</v>
      </c>
      <c r="F280">
        <v>30</v>
      </c>
      <c r="G280">
        <v>1</v>
      </c>
      <c r="H280">
        <v>150</v>
      </c>
      <c r="I280">
        <v>250</v>
      </c>
      <c r="J280" t="s">
        <v>87</v>
      </c>
      <c r="K280">
        <v>250</v>
      </c>
      <c r="L280">
        <v>3</v>
      </c>
      <c r="M280">
        <v>0</v>
      </c>
      <c r="N280">
        <f>D280*Food_DB!$C$2</f>
        <v>150</v>
      </c>
      <c r="O280">
        <f>E280/100*Food_DB!$C$3</f>
        <v>260</v>
      </c>
      <c r="P280">
        <f>F280/30*Food_DB!$C$4</f>
        <v>111</v>
      </c>
      <c r="Q280">
        <f>G280*Food_DB!$C$5</f>
        <v>222</v>
      </c>
      <c r="R280">
        <f>H280/100*Food_DB!$C$6</f>
        <v>12</v>
      </c>
      <c r="S280">
        <f>I280/100*Food_DB!$C$7</f>
        <v>62.5</v>
      </c>
      <c r="T280">
        <f>IFERROR(K280/100*VLOOKUP(J280,Food_DB!$A$2:$F$14,3,FALSE),0)</f>
        <v>300</v>
      </c>
      <c r="U280">
        <f>L280*Food_DB!$C$8</f>
        <v>270</v>
      </c>
      <c r="V280">
        <f t="shared" si="16"/>
        <v>0</v>
      </c>
      <c r="W280">
        <f t="shared" si="17"/>
        <v>1387.5</v>
      </c>
      <c r="X280">
        <f>D280*Food_DB!$D$2+E280/100*Food_DB!$D$3+F280/30*Food_DB!$D$4+G280*Food_DB!$D$5+H280/100*Food_DB!$D$6+I280/100*Food_DB!$D$7+IFERROR(K280/100*VLOOKUP(J280,Food_DB!$A$2:$F$14,4,FALSE),0)+L280*Food_DB!$D$8</f>
        <v>100.49999999999999</v>
      </c>
      <c r="Y280">
        <f>D280*Food_DB!$E$2+E280/100*Food_DB!$E$3+F280/30*Food_DB!$E$4+G280*Food_DB!$E$5+H280/100*Food_DB!$E$6+I280/100*Food_DB!$E$7+IFERROR(K280/100*VLOOKUP(J280,Food_DB!$A$2:$F$14,5,FALSE),0)+L280*Food_DB!$E$8</f>
        <v>32.35</v>
      </c>
      <c r="Z280">
        <f>D280*Food_DB!$F$2+E280/100*Food_DB!$F$3+F280/30*Food_DB!$F$4+G280*Food_DB!$F$5+H280/100*Food_DB!$F$6+I280/100*Food_DB!$F$7+IFERROR(K280/100*VLOOKUP(J280,Food_DB!$A$2:$F$14,6,FALSE),0)+L280*Food_DB!$F$8</f>
        <v>178.15</v>
      </c>
      <c r="AA280">
        <v>6.5</v>
      </c>
      <c r="AB280">
        <v>30</v>
      </c>
      <c r="AC280">
        <v>0</v>
      </c>
      <c r="AD280">
        <v>0</v>
      </c>
      <c r="AE280">
        <f>Dashboard!$B$6*AA280+Dashboard!$B$6*4*AB280/60+Dashboard!$B$6*8*AC280/120+Dashboard!$B$6*7*AD280</f>
        <v>680</v>
      </c>
      <c r="AF280">
        <f>Dashboard!$B$5</f>
        <v>1700</v>
      </c>
      <c r="AG280">
        <f t="shared" si="18"/>
        <v>2720</v>
      </c>
      <c r="AH280">
        <f t="shared" si="19"/>
        <v>-1332.5</v>
      </c>
    </row>
    <row r="281" spans="1:34">
      <c r="A281">
        <v>46457</v>
      </c>
      <c r="B281" t="s">
        <v>93</v>
      </c>
      <c r="C281" t="s">
        <v>89</v>
      </c>
      <c r="D281">
        <v>2</v>
      </c>
      <c r="E281">
        <v>400</v>
      </c>
      <c r="F281">
        <v>30</v>
      </c>
      <c r="G281">
        <v>1</v>
      </c>
      <c r="H281">
        <v>150</v>
      </c>
      <c r="I281">
        <v>250</v>
      </c>
      <c r="J281" t="s">
        <v>90</v>
      </c>
      <c r="K281">
        <v>250</v>
      </c>
      <c r="L281">
        <v>3</v>
      </c>
      <c r="M281">
        <v>0</v>
      </c>
      <c r="N281">
        <f>D281*Food_DB!$C$2</f>
        <v>150</v>
      </c>
      <c r="O281">
        <f>E281/100*Food_DB!$C$3</f>
        <v>260</v>
      </c>
      <c r="P281">
        <f>F281/30*Food_DB!$C$4</f>
        <v>111</v>
      </c>
      <c r="Q281">
        <f>G281*Food_DB!$C$5</f>
        <v>222</v>
      </c>
      <c r="R281">
        <f>H281/100*Food_DB!$C$6</f>
        <v>12</v>
      </c>
      <c r="S281">
        <f>I281/100*Food_DB!$C$7</f>
        <v>62.5</v>
      </c>
      <c r="T281">
        <f>IFERROR(K281/100*VLOOKUP(J281,Food_DB!$A$2:$F$14,3,FALSE),0)</f>
        <v>575</v>
      </c>
      <c r="U281">
        <f>L281*Food_DB!$C$8</f>
        <v>270</v>
      </c>
      <c r="V281">
        <f t="shared" si="16"/>
        <v>0</v>
      </c>
      <c r="W281">
        <f t="shared" si="17"/>
        <v>1662.5</v>
      </c>
      <c r="X281">
        <f>D281*Food_DB!$D$2+E281/100*Food_DB!$D$3+F281/30*Food_DB!$D$4+G281*Food_DB!$D$5+H281/100*Food_DB!$D$6+I281/100*Food_DB!$D$7+IFERROR(K281/100*VLOOKUP(J281,Food_DB!$A$2:$F$14,4,FALSE),0)+L281*Food_DB!$D$8</f>
        <v>87.999999999999986</v>
      </c>
      <c r="Y281">
        <f>D281*Food_DB!$E$2+E281/100*Food_DB!$E$3+F281/30*Food_DB!$E$4+G281*Food_DB!$E$5+H281/100*Food_DB!$E$6+I281/100*Food_DB!$E$7+IFERROR(K281/100*VLOOKUP(J281,Food_DB!$A$2:$F$14,5,FALSE),0)+L281*Food_DB!$E$8</f>
        <v>68.599999999999994</v>
      </c>
      <c r="Z281">
        <f>D281*Food_DB!$F$2+E281/100*Food_DB!$F$3+F281/30*Food_DB!$F$4+G281*Food_DB!$F$5+H281/100*Food_DB!$F$6+I281/100*Food_DB!$F$7+IFERROR(K281/100*VLOOKUP(J281,Food_DB!$A$2:$F$14,6,FALSE),0)+L281*Food_DB!$F$8</f>
        <v>178.15</v>
      </c>
      <c r="AA281">
        <v>6.5</v>
      </c>
      <c r="AB281">
        <v>30</v>
      </c>
      <c r="AC281">
        <v>0</v>
      </c>
      <c r="AD281">
        <v>0</v>
      </c>
      <c r="AE281">
        <f>Dashboard!$B$6*AA281+Dashboard!$B$6*4*AB281/60+Dashboard!$B$6*8*AC281/120+Dashboard!$B$6*7*AD281</f>
        <v>680</v>
      </c>
      <c r="AF281">
        <f>Dashboard!$B$5</f>
        <v>1700</v>
      </c>
      <c r="AG281">
        <f t="shared" si="18"/>
        <v>2720</v>
      </c>
      <c r="AH281">
        <f t="shared" si="19"/>
        <v>-1057.5</v>
      </c>
    </row>
    <row r="282" spans="1:34">
      <c r="A282">
        <v>46458</v>
      </c>
      <c r="B282" t="s">
        <v>80</v>
      </c>
      <c r="C282" t="s">
        <v>81</v>
      </c>
      <c r="D282">
        <v>2</v>
      </c>
      <c r="E282">
        <v>400</v>
      </c>
      <c r="F282">
        <v>30</v>
      </c>
      <c r="G282">
        <v>1</v>
      </c>
      <c r="H282">
        <v>150</v>
      </c>
      <c r="I282">
        <v>250</v>
      </c>
      <c r="J282" t="s">
        <v>82</v>
      </c>
      <c r="K282">
        <v>250</v>
      </c>
      <c r="L282">
        <v>3</v>
      </c>
      <c r="M282">
        <v>1000</v>
      </c>
      <c r="N282">
        <f>D282*Food_DB!$C$2</f>
        <v>150</v>
      </c>
      <c r="O282">
        <f>E282/100*Food_DB!$C$3</f>
        <v>260</v>
      </c>
      <c r="P282">
        <f>F282/30*Food_DB!$C$4</f>
        <v>111</v>
      </c>
      <c r="Q282">
        <f>G282*Food_DB!$C$5</f>
        <v>222</v>
      </c>
      <c r="R282">
        <f>H282/100*Food_DB!$C$6</f>
        <v>12</v>
      </c>
      <c r="S282">
        <f>I282/100*Food_DB!$C$7</f>
        <v>62.5</v>
      </c>
      <c r="T282">
        <f>IFERROR(K282/100*VLOOKUP(J282,Food_DB!$A$2:$F$14,3,FALSE),0)</f>
        <v>550</v>
      </c>
      <c r="U282">
        <f>L282*Food_DB!$C$8</f>
        <v>270</v>
      </c>
      <c r="V282">
        <f t="shared" si="16"/>
        <v>1000</v>
      </c>
      <c r="W282">
        <f t="shared" si="17"/>
        <v>2637.5</v>
      </c>
      <c r="X282">
        <f>D282*Food_DB!$D$2+E282/100*Food_DB!$D$3+F282/30*Food_DB!$D$4+G282*Food_DB!$D$5+H282/100*Food_DB!$D$6+I282/100*Food_DB!$D$7+IFERROR(K282/100*VLOOKUP(J282,Food_DB!$A$2:$F$14,4,FALSE),0)+L282*Food_DB!$D$8</f>
        <v>92.999999999999986</v>
      </c>
      <c r="Y282">
        <f>D282*Food_DB!$E$2+E282/100*Food_DB!$E$3+F282/30*Food_DB!$E$4+G282*Food_DB!$E$5+H282/100*Food_DB!$E$6+I282/100*Food_DB!$E$7+IFERROR(K282/100*VLOOKUP(J282,Food_DB!$A$2:$F$14,5,FALSE),0)+L282*Food_DB!$E$8</f>
        <v>63.6</v>
      </c>
      <c r="Z282">
        <f>D282*Food_DB!$F$2+E282/100*Food_DB!$F$3+F282/30*Food_DB!$F$4+G282*Food_DB!$F$5+H282/100*Food_DB!$F$6+I282/100*Food_DB!$F$7+IFERROR(K282/100*VLOOKUP(J282,Food_DB!$A$2:$F$14,6,FALSE),0)+L282*Food_DB!$F$8</f>
        <v>178.15</v>
      </c>
      <c r="AA282">
        <v>6.5</v>
      </c>
      <c r="AB282">
        <v>30</v>
      </c>
      <c r="AC282">
        <v>0</v>
      </c>
      <c r="AD282">
        <v>0</v>
      </c>
      <c r="AE282">
        <f>Dashboard!$B$6*AA282+Dashboard!$B$6*4*AB282/60+Dashboard!$B$6*8*AC282/120+Dashboard!$B$6*7*AD282</f>
        <v>680</v>
      </c>
      <c r="AF282">
        <f>Dashboard!$B$5</f>
        <v>1700</v>
      </c>
      <c r="AG282">
        <f t="shared" si="18"/>
        <v>2720</v>
      </c>
      <c r="AH282">
        <f t="shared" si="19"/>
        <v>-82.5</v>
      </c>
    </row>
    <row r="283" spans="1:34">
      <c r="A283">
        <v>46459</v>
      </c>
      <c r="B283" t="s">
        <v>83</v>
      </c>
      <c r="C283" t="s">
        <v>84</v>
      </c>
      <c r="D283">
        <v>2</v>
      </c>
      <c r="E283">
        <v>400</v>
      </c>
      <c r="F283">
        <v>30</v>
      </c>
      <c r="G283">
        <v>1</v>
      </c>
      <c r="H283">
        <v>150</v>
      </c>
      <c r="I283">
        <v>250</v>
      </c>
      <c r="J283" t="s">
        <v>85</v>
      </c>
      <c r="K283">
        <v>250</v>
      </c>
      <c r="L283">
        <v>3</v>
      </c>
      <c r="M283">
        <v>0</v>
      </c>
      <c r="N283">
        <f>D283*Food_DB!$C$2</f>
        <v>150</v>
      </c>
      <c r="O283">
        <f>E283/100*Food_DB!$C$3</f>
        <v>260</v>
      </c>
      <c r="P283">
        <f>F283/30*Food_DB!$C$4</f>
        <v>111</v>
      </c>
      <c r="Q283">
        <f>G283*Food_DB!$C$5</f>
        <v>222</v>
      </c>
      <c r="R283">
        <f>H283/100*Food_DB!$C$6</f>
        <v>12</v>
      </c>
      <c r="S283">
        <f>I283/100*Food_DB!$C$7</f>
        <v>62.5</v>
      </c>
      <c r="T283">
        <f>IFERROR(K283/100*VLOOKUP(J283,Food_DB!$A$2:$F$14,3,FALSE),0)</f>
        <v>450</v>
      </c>
      <c r="U283">
        <f>L283*Food_DB!$C$8</f>
        <v>270</v>
      </c>
      <c r="V283">
        <f t="shared" si="16"/>
        <v>0</v>
      </c>
      <c r="W283">
        <f t="shared" si="17"/>
        <v>1537.5</v>
      </c>
      <c r="X283">
        <f>D283*Food_DB!$D$2+E283/100*Food_DB!$D$3+F283/30*Food_DB!$D$4+G283*Food_DB!$D$5+H283/100*Food_DB!$D$6+I283/100*Food_DB!$D$7+IFERROR(K283/100*VLOOKUP(J283,Food_DB!$A$2:$F$14,4,FALSE),0)+L283*Food_DB!$D$8</f>
        <v>92.999999999999986</v>
      </c>
      <c r="Y283">
        <f>D283*Food_DB!$E$2+E283/100*Food_DB!$E$3+F283/30*Food_DB!$E$4+G283*Food_DB!$E$5+H283/100*Food_DB!$E$6+I283/100*Food_DB!$E$7+IFERROR(K283/100*VLOOKUP(J283,Food_DB!$A$2:$F$14,5,FALSE),0)+L283*Food_DB!$E$8</f>
        <v>51.1</v>
      </c>
      <c r="Z283">
        <f>D283*Food_DB!$F$2+E283/100*Food_DB!$F$3+F283/30*Food_DB!$F$4+G283*Food_DB!$F$5+H283/100*Food_DB!$F$6+I283/100*Food_DB!$F$7+IFERROR(K283/100*VLOOKUP(J283,Food_DB!$A$2:$F$14,6,FALSE),0)+L283*Food_DB!$F$8</f>
        <v>178.15</v>
      </c>
      <c r="AA283">
        <v>0</v>
      </c>
      <c r="AB283">
        <v>0</v>
      </c>
      <c r="AC283">
        <v>0</v>
      </c>
      <c r="AD283">
        <v>3.5</v>
      </c>
      <c r="AE283">
        <f>Dashboard!$B$6*AA283+Dashboard!$B$6*4*AB283/60+Dashboard!$B$6*8*AC283/120+Dashboard!$B$6*7*AD283</f>
        <v>1960</v>
      </c>
      <c r="AF283">
        <f>Dashboard!$B$5</f>
        <v>1700</v>
      </c>
      <c r="AG283">
        <f t="shared" si="18"/>
        <v>4000</v>
      </c>
      <c r="AH283">
        <f t="shared" si="19"/>
        <v>-2462.5</v>
      </c>
    </row>
    <row r="284" spans="1:34">
      <c r="A284">
        <v>46460</v>
      </c>
      <c r="B284" t="s">
        <v>86</v>
      </c>
      <c r="C284" t="s">
        <v>84</v>
      </c>
      <c r="D284">
        <v>2</v>
      </c>
      <c r="E284">
        <v>400</v>
      </c>
      <c r="F284">
        <v>30</v>
      </c>
      <c r="G284">
        <v>1</v>
      </c>
      <c r="H284">
        <v>150</v>
      </c>
      <c r="I284">
        <v>250</v>
      </c>
      <c r="J284" t="s">
        <v>87</v>
      </c>
      <c r="K284">
        <v>250</v>
      </c>
      <c r="L284">
        <v>3</v>
      </c>
      <c r="M284">
        <v>0</v>
      </c>
      <c r="N284">
        <f>D284*Food_DB!$C$2</f>
        <v>150</v>
      </c>
      <c r="O284">
        <f>E284/100*Food_DB!$C$3</f>
        <v>260</v>
      </c>
      <c r="P284">
        <f>F284/30*Food_DB!$C$4</f>
        <v>111</v>
      </c>
      <c r="Q284">
        <f>G284*Food_DB!$C$5</f>
        <v>222</v>
      </c>
      <c r="R284">
        <f>H284/100*Food_DB!$C$6</f>
        <v>12</v>
      </c>
      <c r="S284">
        <f>I284/100*Food_DB!$C$7</f>
        <v>62.5</v>
      </c>
      <c r="T284">
        <f>IFERROR(K284/100*VLOOKUP(J284,Food_DB!$A$2:$F$14,3,FALSE),0)</f>
        <v>300</v>
      </c>
      <c r="U284">
        <f>L284*Food_DB!$C$8</f>
        <v>270</v>
      </c>
      <c r="V284">
        <f t="shared" si="16"/>
        <v>0</v>
      </c>
      <c r="W284">
        <f t="shared" si="17"/>
        <v>1387.5</v>
      </c>
      <c r="X284">
        <f>D284*Food_DB!$D$2+E284/100*Food_DB!$D$3+F284/30*Food_DB!$D$4+G284*Food_DB!$D$5+H284/100*Food_DB!$D$6+I284/100*Food_DB!$D$7+IFERROR(K284/100*VLOOKUP(J284,Food_DB!$A$2:$F$14,4,FALSE),0)+L284*Food_DB!$D$8</f>
        <v>100.49999999999999</v>
      </c>
      <c r="Y284">
        <f>D284*Food_DB!$E$2+E284/100*Food_DB!$E$3+F284/30*Food_DB!$E$4+G284*Food_DB!$E$5+H284/100*Food_DB!$E$6+I284/100*Food_DB!$E$7+IFERROR(K284/100*VLOOKUP(J284,Food_DB!$A$2:$F$14,5,FALSE),0)+L284*Food_DB!$E$8</f>
        <v>32.35</v>
      </c>
      <c r="Z284">
        <f>D284*Food_DB!$F$2+E284/100*Food_DB!$F$3+F284/30*Food_DB!$F$4+G284*Food_DB!$F$5+H284/100*Food_DB!$F$6+I284/100*Food_DB!$F$7+IFERROR(K284/100*VLOOKUP(J284,Food_DB!$A$2:$F$14,6,FALSE),0)+L284*Food_DB!$F$8</f>
        <v>178.15</v>
      </c>
      <c r="AA284">
        <v>0</v>
      </c>
      <c r="AB284">
        <v>0</v>
      </c>
      <c r="AC284">
        <v>0</v>
      </c>
      <c r="AD284">
        <v>3.5</v>
      </c>
      <c r="AE284">
        <f>Dashboard!$B$6*AA284+Dashboard!$B$6*4*AB284/60+Dashboard!$B$6*8*AC284/120+Dashboard!$B$6*7*AD284</f>
        <v>1960</v>
      </c>
      <c r="AF284">
        <f>Dashboard!$B$5</f>
        <v>1700</v>
      </c>
      <c r="AG284">
        <f t="shared" si="18"/>
        <v>4000</v>
      </c>
      <c r="AH284">
        <f t="shared" si="19"/>
        <v>-2612.5</v>
      </c>
    </row>
    <row r="285" spans="1:34">
      <c r="A285">
        <v>46461</v>
      </c>
      <c r="B285" t="s">
        <v>88</v>
      </c>
      <c r="C285" t="s">
        <v>89</v>
      </c>
      <c r="D285">
        <v>2</v>
      </c>
      <c r="E285">
        <v>400</v>
      </c>
      <c r="F285">
        <v>30</v>
      </c>
      <c r="G285">
        <v>1</v>
      </c>
      <c r="H285">
        <v>150</v>
      </c>
      <c r="I285">
        <v>250</v>
      </c>
      <c r="J285" t="s">
        <v>90</v>
      </c>
      <c r="K285">
        <v>250</v>
      </c>
      <c r="L285">
        <v>3</v>
      </c>
      <c r="M285">
        <v>0</v>
      </c>
      <c r="N285">
        <f>D285*Food_DB!$C$2</f>
        <v>150</v>
      </c>
      <c r="O285">
        <f>E285/100*Food_DB!$C$3</f>
        <v>260</v>
      </c>
      <c r="P285">
        <f>F285/30*Food_DB!$C$4</f>
        <v>111</v>
      </c>
      <c r="Q285">
        <f>G285*Food_DB!$C$5</f>
        <v>222</v>
      </c>
      <c r="R285">
        <f>H285/100*Food_DB!$C$6</f>
        <v>12</v>
      </c>
      <c r="S285">
        <f>I285/100*Food_DB!$C$7</f>
        <v>62.5</v>
      </c>
      <c r="T285">
        <f>IFERROR(K285/100*VLOOKUP(J285,Food_DB!$A$2:$F$14,3,FALSE),0)</f>
        <v>575</v>
      </c>
      <c r="U285">
        <f>L285*Food_DB!$C$8</f>
        <v>270</v>
      </c>
      <c r="V285">
        <f t="shared" si="16"/>
        <v>0</v>
      </c>
      <c r="W285">
        <f t="shared" si="17"/>
        <v>1662.5</v>
      </c>
      <c r="X285">
        <f>D285*Food_DB!$D$2+E285/100*Food_DB!$D$3+F285/30*Food_DB!$D$4+G285*Food_DB!$D$5+H285/100*Food_DB!$D$6+I285/100*Food_DB!$D$7+IFERROR(K285/100*VLOOKUP(J285,Food_DB!$A$2:$F$14,4,FALSE),0)+L285*Food_DB!$D$8</f>
        <v>87.999999999999986</v>
      </c>
      <c r="Y285">
        <f>D285*Food_DB!$E$2+E285/100*Food_DB!$E$3+F285/30*Food_DB!$E$4+G285*Food_DB!$E$5+H285/100*Food_DB!$E$6+I285/100*Food_DB!$E$7+IFERROR(K285/100*VLOOKUP(J285,Food_DB!$A$2:$F$14,5,FALSE),0)+L285*Food_DB!$E$8</f>
        <v>68.599999999999994</v>
      </c>
      <c r="Z285">
        <f>D285*Food_DB!$F$2+E285/100*Food_DB!$F$3+F285/30*Food_DB!$F$4+G285*Food_DB!$F$5+H285/100*Food_DB!$F$6+I285/100*Food_DB!$F$7+IFERROR(K285/100*VLOOKUP(J285,Food_DB!$A$2:$F$14,6,FALSE),0)+L285*Food_DB!$F$8</f>
        <v>178.15</v>
      </c>
      <c r="AA285">
        <v>6.5</v>
      </c>
      <c r="AB285">
        <v>30</v>
      </c>
      <c r="AC285">
        <v>0</v>
      </c>
      <c r="AD285">
        <v>0</v>
      </c>
      <c r="AE285">
        <f>Dashboard!$B$6*AA285+Dashboard!$B$6*4*AB285/60+Dashboard!$B$6*8*AC285/120+Dashboard!$B$6*7*AD285</f>
        <v>680</v>
      </c>
      <c r="AF285">
        <f>Dashboard!$B$5</f>
        <v>1700</v>
      </c>
      <c r="AG285">
        <f t="shared" si="18"/>
        <v>2720</v>
      </c>
      <c r="AH285">
        <f t="shared" si="19"/>
        <v>-1057.5</v>
      </c>
    </row>
    <row r="286" spans="1:34">
      <c r="A286">
        <v>46462</v>
      </c>
      <c r="B286" t="s">
        <v>91</v>
      </c>
      <c r="C286" t="s">
        <v>89</v>
      </c>
      <c r="D286">
        <v>2</v>
      </c>
      <c r="E286">
        <v>400</v>
      </c>
      <c r="F286">
        <v>30</v>
      </c>
      <c r="G286">
        <v>1</v>
      </c>
      <c r="H286">
        <v>150</v>
      </c>
      <c r="I286">
        <v>250</v>
      </c>
      <c r="J286" t="s">
        <v>82</v>
      </c>
      <c r="K286">
        <v>250</v>
      </c>
      <c r="L286">
        <v>3</v>
      </c>
      <c r="M286">
        <v>0</v>
      </c>
      <c r="N286">
        <f>D286*Food_DB!$C$2</f>
        <v>150</v>
      </c>
      <c r="O286">
        <f>E286/100*Food_DB!$C$3</f>
        <v>260</v>
      </c>
      <c r="P286">
        <f>F286/30*Food_DB!$C$4</f>
        <v>111</v>
      </c>
      <c r="Q286">
        <f>G286*Food_DB!$C$5</f>
        <v>222</v>
      </c>
      <c r="R286">
        <f>H286/100*Food_DB!$C$6</f>
        <v>12</v>
      </c>
      <c r="S286">
        <f>I286/100*Food_DB!$C$7</f>
        <v>62.5</v>
      </c>
      <c r="T286">
        <f>IFERROR(K286/100*VLOOKUP(J286,Food_DB!$A$2:$F$14,3,FALSE),0)</f>
        <v>550</v>
      </c>
      <c r="U286">
        <f>L286*Food_DB!$C$8</f>
        <v>270</v>
      </c>
      <c r="V286">
        <f t="shared" si="16"/>
        <v>0</v>
      </c>
      <c r="W286">
        <f t="shared" si="17"/>
        <v>1637.5</v>
      </c>
      <c r="X286">
        <f>D286*Food_DB!$D$2+E286/100*Food_DB!$D$3+F286/30*Food_DB!$D$4+G286*Food_DB!$D$5+H286/100*Food_DB!$D$6+I286/100*Food_DB!$D$7+IFERROR(K286/100*VLOOKUP(J286,Food_DB!$A$2:$F$14,4,FALSE),0)+L286*Food_DB!$D$8</f>
        <v>92.999999999999986</v>
      </c>
      <c r="Y286">
        <f>D286*Food_DB!$E$2+E286/100*Food_DB!$E$3+F286/30*Food_DB!$E$4+G286*Food_DB!$E$5+H286/100*Food_DB!$E$6+I286/100*Food_DB!$E$7+IFERROR(K286/100*VLOOKUP(J286,Food_DB!$A$2:$F$14,5,FALSE),0)+L286*Food_DB!$E$8</f>
        <v>63.6</v>
      </c>
      <c r="Z286">
        <f>D286*Food_DB!$F$2+E286/100*Food_DB!$F$3+F286/30*Food_DB!$F$4+G286*Food_DB!$F$5+H286/100*Food_DB!$F$6+I286/100*Food_DB!$F$7+IFERROR(K286/100*VLOOKUP(J286,Food_DB!$A$2:$F$14,6,FALSE),0)+L286*Food_DB!$F$8</f>
        <v>178.15</v>
      </c>
      <c r="AA286">
        <v>6.5</v>
      </c>
      <c r="AB286">
        <v>30</v>
      </c>
      <c r="AC286">
        <v>0</v>
      </c>
      <c r="AD286">
        <v>0</v>
      </c>
      <c r="AE286">
        <f>Dashboard!$B$6*AA286+Dashboard!$B$6*4*AB286/60+Dashboard!$B$6*8*AC286/120+Dashboard!$B$6*7*AD286</f>
        <v>680</v>
      </c>
      <c r="AF286">
        <f>Dashboard!$B$5</f>
        <v>1700</v>
      </c>
      <c r="AG286">
        <f t="shared" si="18"/>
        <v>2720</v>
      </c>
      <c r="AH286">
        <f t="shared" si="19"/>
        <v>-1082.5</v>
      </c>
    </row>
    <row r="287" spans="1:34">
      <c r="A287">
        <v>46463</v>
      </c>
      <c r="B287" t="s">
        <v>92</v>
      </c>
      <c r="C287" t="s">
        <v>89</v>
      </c>
      <c r="D287">
        <v>2</v>
      </c>
      <c r="E287">
        <v>400</v>
      </c>
      <c r="F287">
        <v>30</v>
      </c>
      <c r="G287">
        <v>1</v>
      </c>
      <c r="H287">
        <v>150</v>
      </c>
      <c r="I287">
        <v>250</v>
      </c>
      <c r="J287" t="s">
        <v>85</v>
      </c>
      <c r="K287">
        <v>250</v>
      </c>
      <c r="L287">
        <v>3</v>
      </c>
      <c r="M287">
        <v>0</v>
      </c>
      <c r="N287">
        <f>D287*Food_DB!$C$2</f>
        <v>150</v>
      </c>
      <c r="O287">
        <f>E287/100*Food_DB!$C$3</f>
        <v>260</v>
      </c>
      <c r="P287">
        <f>F287/30*Food_DB!$C$4</f>
        <v>111</v>
      </c>
      <c r="Q287">
        <f>G287*Food_DB!$C$5</f>
        <v>222</v>
      </c>
      <c r="R287">
        <f>H287/100*Food_DB!$C$6</f>
        <v>12</v>
      </c>
      <c r="S287">
        <f>I287/100*Food_DB!$C$7</f>
        <v>62.5</v>
      </c>
      <c r="T287">
        <f>IFERROR(K287/100*VLOOKUP(J287,Food_DB!$A$2:$F$14,3,FALSE),0)</f>
        <v>450</v>
      </c>
      <c r="U287">
        <f>L287*Food_DB!$C$8</f>
        <v>270</v>
      </c>
      <c r="V287">
        <f t="shared" si="16"/>
        <v>0</v>
      </c>
      <c r="W287">
        <f t="shared" si="17"/>
        <v>1537.5</v>
      </c>
      <c r="X287">
        <f>D287*Food_DB!$D$2+E287/100*Food_DB!$D$3+F287/30*Food_DB!$D$4+G287*Food_DB!$D$5+H287/100*Food_DB!$D$6+I287/100*Food_DB!$D$7+IFERROR(K287/100*VLOOKUP(J287,Food_DB!$A$2:$F$14,4,FALSE),0)+L287*Food_DB!$D$8</f>
        <v>92.999999999999986</v>
      </c>
      <c r="Y287">
        <f>D287*Food_DB!$E$2+E287/100*Food_DB!$E$3+F287/30*Food_DB!$E$4+G287*Food_DB!$E$5+H287/100*Food_DB!$E$6+I287/100*Food_DB!$E$7+IFERROR(K287/100*VLOOKUP(J287,Food_DB!$A$2:$F$14,5,FALSE),0)+L287*Food_DB!$E$8</f>
        <v>51.1</v>
      </c>
      <c r="Z287">
        <f>D287*Food_DB!$F$2+E287/100*Food_DB!$F$3+F287/30*Food_DB!$F$4+G287*Food_DB!$F$5+H287/100*Food_DB!$F$6+I287/100*Food_DB!$F$7+IFERROR(K287/100*VLOOKUP(J287,Food_DB!$A$2:$F$14,6,FALSE),0)+L287*Food_DB!$F$8</f>
        <v>178.15</v>
      </c>
      <c r="AA287">
        <v>6.5</v>
      </c>
      <c r="AB287">
        <v>30</v>
      </c>
      <c r="AC287">
        <v>0</v>
      </c>
      <c r="AD287">
        <v>0</v>
      </c>
      <c r="AE287">
        <f>Dashboard!$B$6*AA287+Dashboard!$B$6*4*AB287/60+Dashboard!$B$6*8*AC287/120+Dashboard!$B$6*7*AD287</f>
        <v>680</v>
      </c>
      <c r="AF287">
        <f>Dashboard!$B$5</f>
        <v>1700</v>
      </c>
      <c r="AG287">
        <f t="shared" si="18"/>
        <v>2720</v>
      </c>
      <c r="AH287">
        <f t="shared" si="19"/>
        <v>-1182.5</v>
      </c>
    </row>
    <row r="288" spans="1:34">
      <c r="A288">
        <v>46464</v>
      </c>
      <c r="B288" t="s">
        <v>93</v>
      </c>
      <c r="C288" t="s">
        <v>89</v>
      </c>
      <c r="D288">
        <v>2</v>
      </c>
      <c r="E288">
        <v>400</v>
      </c>
      <c r="F288">
        <v>30</v>
      </c>
      <c r="G288">
        <v>1</v>
      </c>
      <c r="H288">
        <v>150</v>
      </c>
      <c r="I288">
        <v>250</v>
      </c>
      <c r="J288" t="s">
        <v>87</v>
      </c>
      <c r="K288">
        <v>250</v>
      </c>
      <c r="L288">
        <v>3</v>
      </c>
      <c r="M288">
        <v>0</v>
      </c>
      <c r="N288">
        <f>D288*Food_DB!$C$2</f>
        <v>150</v>
      </c>
      <c r="O288">
        <f>E288/100*Food_DB!$C$3</f>
        <v>260</v>
      </c>
      <c r="P288">
        <f>F288/30*Food_DB!$C$4</f>
        <v>111</v>
      </c>
      <c r="Q288">
        <f>G288*Food_DB!$C$5</f>
        <v>222</v>
      </c>
      <c r="R288">
        <f>H288/100*Food_DB!$C$6</f>
        <v>12</v>
      </c>
      <c r="S288">
        <f>I288/100*Food_DB!$C$7</f>
        <v>62.5</v>
      </c>
      <c r="T288">
        <f>IFERROR(K288/100*VLOOKUP(J288,Food_DB!$A$2:$F$14,3,FALSE),0)</f>
        <v>300</v>
      </c>
      <c r="U288">
        <f>L288*Food_DB!$C$8</f>
        <v>270</v>
      </c>
      <c r="V288">
        <f t="shared" si="16"/>
        <v>0</v>
      </c>
      <c r="W288">
        <f t="shared" si="17"/>
        <v>1387.5</v>
      </c>
      <c r="X288">
        <f>D288*Food_DB!$D$2+E288/100*Food_DB!$D$3+F288/30*Food_DB!$D$4+G288*Food_DB!$D$5+H288/100*Food_DB!$D$6+I288/100*Food_DB!$D$7+IFERROR(K288/100*VLOOKUP(J288,Food_DB!$A$2:$F$14,4,FALSE),0)+L288*Food_DB!$D$8</f>
        <v>100.49999999999999</v>
      </c>
      <c r="Y288">
        <f>D288*Food_DB!$E$2+E288/100*Food_DB!$E$3+F288/30*Food_DB!$E$4+G288*Food_DB!$E$5+H288/100*Food_DB!$E$6+I288/100*Food_DB!$E$7+IFERROR(K288/100*VLOOKUP(J288,Food_DB!$A$2:$F$14,5,FALSE),0)+L288*Food_DB!$E$8</f>
        <v>32.35</v>
      </c>
      <c r="Z288">
        <f>D288*Food_DB!$F$2+E288/100*Food_DB!$F$3+F288/30*Food_DB!$F$4+G288*Food_DB!$F$5+H288/100*Food_DB!$F$6+I288/100*Food_DB!$F$7+IFERROR(K288/100*VLOOKUP(J288,Food_DB!$A$2:$F$14,6,FALSE),0)+L288*Food_DB!$F$8</f>
        <v>178.15</v>
      </c>
      <c r="AA288">
        <v>6.5</v>
      </c>
      <c r="AB288">
        <v>30</v>
      </c>
      <c r="AC288">
        <v>0</v>
      </c>
      <c r="AD288">
        <v>0</v>
      </c>
      <c r="AE288">
        <f>Dashboard!$B$6*AA288+Dashboard!$B$6*4*AB288/60+Dashboard!$B$6*8*AC288/120+Dashboard!$B$6*7*AD288</f>
        <v>680</v>
      </c>
      <c r="AF288">
        <f>Dashboard!$B$5</f>
        <v>1700</v>
      </c>
      <c r="AG288">
        <f t="shared" si="18"/>
        <v>2720</v>
      </c>
      <c r="AH288">
        <f t="shared" si="19"/>
        <v>-1332.5</v>
      </c>
    </row>
    <row r="289" spans="1:34">
      <c r="A289">
        <v>46465</v>
      </c>
      <c r="B289" t="s">
        <v>80</v>
      </c>
      <c r="C289" t="s">
        <v>81</v>
      </c>
      <c r="D289">
        <v>2</v>
      </c>
      <c r="E289">
        <v>400</v>
      </c>
      <c r="F289">
        <v>30</v>
      </c>
      <c r="G289">
        <v>1</v>
      </c>
      <c r="H289">
        <v>150</v>
      </c>
      <c r="I289">
        <v>250</v>
      </c>
      <c r="J289" t="s">
        <v>90</v>
      </c>
      <c r="K289">
        <v>250</v>
      </c>
      <c r="L289">
        <v>3</v>
      </c>
      <c r="M289">
        <v>1000</v>
      </c>
      <c r="N289">
        <f>D289*Food_DB!$C$2</f>
        <v>150</v>
      </c>
      <c r="O289">
        <f>E289/100*Food_DB!$C$3</f>
        <v>260</v>
      </c>
      <c r="P289">
        <f>F289/30*Food_DB!$C$4</f>
        <v>111</v>
      </c>
      <c r="Q289">
        <f>G289*Food_DB!$C$5</f>
        <v>222</v>
      </c>
      <c r="R289">
        <f>H289/100*Food_DB!$C$6</f>
        <v>12</v>
      </c>
      <c r="S289">
        <f>I289/100*Food_DB!$C$7</f>
        <v>62.5</v>
      </c>
      <c r="T289">
        <f>IFERROR(K289/100*VLOOKUP(J289,Food_DB!$A$2:$F$14,3,FALSE),0)</f>
        <v>575</v>
      </c>
      <c r="U289">
        <f>L289*Food_DB!$C$8</f>
        <v>270</v>
      </c>
      <c r="V289">
        <f t="shared" si="16"/>
        <v>1000</v>
      </c>
      <c r="W289">
        <f t="shared" si="17"/>
        <v>2662.5</v>
      </c>
      <c r="X289">
        <f>D289*Food_DB!$D$2+E289/100*Food_DB!$D$3+F289/30*Food_DB!$D$4+G289*Food_DB!$D$5+H289/100*Food_DB!$D$6+I289/100*Food_DB!$D$7+IFERROR(K289/100*VLOOKUP(J289,Food_DB!$A$2:$F$14,4,FALSE),0)+L289*Food_DB!$D$8</f>
        <v>87.999999999999986</v>
      </c>
      <c r="Y289">
        <f>D289*Food_DB!$E$2+E289/100*Food_DB!$E$3+F289/30*Food_DB!$E$4+G289*Food_DB!$E$5+H289/100*Food_DB!$E$6+I289/100*Food_DB!$E$7+IFERROR(K289/100*VLOOKUP(J289,Food_DB!$A$2:$F$14,5,FALSE),0)+L289*Food_DB!$E$8</f>
        <v>68.599999999999994</v>
      </c>
      <c r="Z289">
        <f>D289*Food_DB!$F$2+E289/100*Food_DB!$F$3+F289/30*Food_DB!$F$4+G289*Food_DB!$F$5+H289/100*Food_DB!$F$6+I289/100*Food_DB!$F$7+IFERROR(K289/100*VLOOKUP(J289,Food_DB!$A$2:$F$14,6,FALSE),0)+L289*Food_DB!$F$8</f>
        <v>178.15</v>
      </c>
      <c r="AA289">
        <v>6.5</v>
      </c>
      <c r="AB289">
        <v>30</v>
      </c>
      <c r="AC289">
        <v>0</v>
      </c>
      <c r="AD289">
        <v>0</v>
      </c>
      <c r="AE289">
        <f>Dashboard!$B$6*AA289+Dashboard!$B$6*4*AB289/60+Dashboard!$B$6*8*AC289/120+Dashboard!$B$6*7*AD289</f>
        <v>680</v>
      </c>
      <c r="AF289">
        <f>Dashboard!$B$5</f>
        <v>1700</v>
      </c>
      <c r="AG289">
        <f t="shared" si="18"/>
        <v>2720</v>
      </c>
      <c r="AH289">
        <f t="shared" si="19"/>
        <v>-57.5</v>
      </c>
    </row>
    <row r="290" spans="1:34">
      <c r="A290">
        <v>46466</v>
      </c>
      <c r="B290" t="s">
        <v>83</v>
      </c>
      <c r="C290" t="s">
        <v>84</v>
      </c>
      <c r="D290">
        <v>2</v>
      </c>
      <c r="E290">
        <v>400</v>
      </c>
      <c r="F290">
        <v>30</v>
      </c>
      <c r="G290">
        <v>1</v>
      </c>
      <c r="H290">
        <v>150</v>
      </c>
      <c r="I290">
        <v>250</v>
      </c>
      <c r="J290" t="s">
        <v>82</v>
      </c>
      <c r="K290">
        <v>250</v>
      </c>
      <c r="L290">
        <v>3</v>
      </c>
      <c r="M290">
        <v>0</v>
      </c>
      <c r="N290">
        <f>D290*Food_DB!$C$2</f>
        <v>150</v>
      </c>
      <c r="O290">
        <f>E290/100*Food_DB!$C$3</f>
        <v>260</v>
      </c>
      <c r="P290">
        <f>F290/30*Food_DB!$C$4</f>
        <v>111</v>
      </c>
      <c r="Q290">
        <f>G290*Food_DB!$C$5</f>
        <v>222</v>
      </c>
      <c r="R290">
        <f>H290/100*Food_DB!$C$6</f>
        <v>12</v>
      </c>
      <c r="S290">
        <f>I290/100*Food_DB!$C$7</f>
        <v>62.5</v>
      </c>
      <c r="T290">
        <f>IFERROR(K290/100*VLOOKUP(J290,Food_DB!$A$2:$F$14,3,FALSE),0)</f>
        <v>550</v>
      </c>
      <c r="U290">
        <f>L290*Food_DB!$C$8</f>
        <v>270</v>
      </c>
      <c r="V290">
        <f t="shared" si="16"/>
        <v>0</v>
      </c>
      <c r="W290">
        <f t="shared" si="17"/>
        <v>1637.5</v>
      </c>
      <c r="X290">
        <f>D290*Food_DB!$D$2+E290/100*Food_DB!$D$3+F290/30*Food_DB!$D$4+G290*Food_DB!$D$5+H290/100*Food_DB!$D$6+I290/100*Food_DB!$D$7+IFERROR(K290/100*VLOOKUP(J290,Food_DB!$A$2:$F$14,4,FALSE),0)+L290*Food_DB!$D$8</f>
        <v>92.999999999999986</v>
      </c>
      <c r="Y290">
        <f>D290*Food_DB!$E$2+E290/100*Food_DB!$E$3+F290/30*Food_DB!$E$4+G290*Food_DB!$E$5+H290/100*Food_DB!$E$6+I290/100*Food_DB!$E$7+IFERROR(K290/100*VLOOKUP(J290,Food_DB!$A$2:$F$14,5,FALSE),0)+L290*Food_DB!$E$8</f>
        <v>63.6</v>
      </c>
      <c r="Z290">
        <f>D290*Food_DB!$F$2+E290/100*Food_DB!$F$3+F290/30*Food_DB!$F$4+G290*Food_DB!$F$5+H290/100*Food_DB!$F$6+I290/100*Food_DB!$F$7+IFERROR(K290/100*VLOOKUP(J290,Food_DB!$A$2:$F$14,6,FALSE),0)+L290*Food_DB!$F$8</f>
        <v>178.15</v>
      </c>
      <c r="AA290">
        <v>0</v>
      </c>
      <c r="AB290">
        <v>0</v>
      </c>
      <c r="AC290">
        <v>0</v>
      </c>
      <c r="AD290">
        <v>3.5</v>
      </c>
      <c r="AE290">
        <f>Dashboard!$B$6*AA290+Dashboard!$B$6*4*AB290/60+Dashboard!$B$6*8*AC290/120+Dashboard!$B$6*7*AD290</f>
        <v>1960</v>
      </c>
      <c r="AF290">
        <f>Dashboard!$B$5</f>
        <v>1700</v>
      </c>
      <c r="AG290">
        <f t="shared" si="18"/>
        <v>4000</v>
      </c>
      <c r="AH290">
        <f t="shared" si="19"/>
        <v>-2362.5</v>
      </c>
    </row>
    <row r="291" spans="1:34">
      <c r="A291">
        <v>46467</v>
      </c>
      <c r="B291" t="s">
        <v>86</v>
      </c>
      <c r="C291" t="s">
        <v>84</v>
      </c>
      <c r="D291">
        <v>2</v>
      </c>
      <c r="E291">
        <v>400</v>
      </c>
      <c r="F291">
        <v>30</v>
      </c>
      <c r="G291">
        <v>1</v>
      </c>
      <c r="H291">
        <v>150</v>
      </c>
      <c r="I291">
        <v>250</v>
      </c>
      <c r="J291" t="s">
        <v>85</v>
      </c>
      <c r="K291">
        <v>250</v>
      </c>
      <c r="L291">
        <v>3</v>
      </c>
      <c r="M291">
        <v>0</v>
      </c>
      <c r="N291">
        <f>D291*Food_DB!$C$2</f>
        <v>150</v>
      </c>
      <c r="O291">
        <f>E291/100*Food_DB!$C$3</f>
        <v>260</v>
      </c>
      <c r="P291">
        <f>F291/30*Food_DB!$C$4</f>
        <v>111</v>
      </c>
      <c r="Q291">
        <f>G291*Food_DB!$C$5</f>
        <v>222</v>
      </c>
      <c r="R291">
        <f>H291/100*Food_DB!$C$6</f>
        <v>12</v>
      </c>
      <c r="S291">
        <f>I291/100*Food_DB!$C$7</f>
        <v>62.5</v>
      </c>
      <c r="T291">
        <f>IFERROR(K291/100*VLOOKUP(J291,Food_DB!$A$2:$F$14,3,FALSE),0)</f>
        <v>450</v>
      </c>
      <c r="U291">
        <f>L291*Food_DB!$C$8</f>
        <v>270</v>
      </c>
      <c r="V291">
        <f t="shared" si="16"/>
        <v>0</v>
      </c>
      <c r="W291">
        <f t="shared" si="17"/>
        <v>1537.5</v>
      </c>
      <c r="X291">
        <f>D291*Food_DB!$D$2+E291/100*Food_DB!$D$3+F291/30*Food_DB!$D$4+G291*Food_DB!$D$5+H291/100*Food_DB!$D$6+I291/100*Food_DB!$D$7+IFERROR(K291/100*VLOOKUP(J291,Food_DB!$A$2:$F$14,4,FALSE),0)+L291*Food_DB!$D$8</f>
        <v>92.999999999999986</v>
      </c>
      <c r="Y291">
        <f>D291*Food_DB!$E$2+E291/100*Food_DB!$E$3+F291/30*Food_DB!$E$4+G291*Food_DB!$E$5+H291/100*Food_DB!$E$6+I291/100*Food_DB!$E$7+IFERROR(K291/100*VLOOKUP(J291,Food_DB!$A$2:$F$14,5,FALSE),0)+L291*Food_DB!$E$8</f>
        <v>51.1</v>
      </c>
      <c r="Z291">
        <f>D291*Food_DB!$F$2+E291/100*Food_DB!$F$3+F291/30*Food_DB!$F$4+G291*Food_DB!$F$5+H291/100*Food_DB!$F$6+I291/100*Food_DB!$F$7+IFERROR(K291/100*VLOOKUP(J291,Food_DB!$A$2:$F$14,6,FALSE),0)+L291*Food_DB!$F$8</f>
        <v>178.15</v>
      </c>
      <c r="AA291">
        <v>0</v>
      </c>
      <c r="AB291">
        <v>0</v>
      </c>
      <c r="AC291">
        <v>0</v>
      </c>
      <c r="AD291">
        <v>3.5</v>
      </c>
      <c r="AE291">
        <f>Dashboard!$B$6*AA291+Dashboard!$B$6*4*AB291/60+Dashboard!$B$6*8*AC291/120+Dashboard!$B$6*7*AD291</f>
        <v>1960</v>
      </c>
      <c r="AF291">
        <f>Dashboard!$B$5</f>
        <v>1700</v>
      </c>
      <c r="AG291">
        <f t="shared" si="18"/>
        <v>4000</v>
      </c>
      <c r="AH291">
        <f t="shared" si="19"/>
        <v>-2462.5</v>
      </c>
    </row>
    <row r="292" spans="1:34">
      <c r="A292">
        <v>46468</v>
      </c>
      <c r="B292" t="s">
        <v>88</v>
      </c>
      <c r="C292" t="s">
        <v>89</v>
      </c>
      <c r="D292">
        <v>2</v>
      </c>
      <c r="E292">
        <v>400</v>
      </c>
      <c r="F292">
        <v>30</v>
      </c>
      <c r="G292">
        <v>1</v>
      </c>
      <c r="H292">
        <v>150</v>
      </c>
      <c r="I292">
        <v>250</v>
      </c>
      <c r="J292" t="s">
        <v>87</v>
      </c>
      <c r="K292">
        <v>250</v>
      </c>
      <c r="L292">
        <v>3</v>
      </c>
      <c r="M292">
        <v>0</v>
      </c>
      <c r="N292">
        <f>D292*Food_DB!$C$2</f>
        <v>150</v>
      </c>
      <c r="O292">
        <f>E292/100*Food_DB!$C$3</f>
        <v>260</v>
      </c>
      <c r="P292">
        <f>F292/30*Food_DB!$C$4</f>
        <v>111</v>
      </c>
      <c r="Q292">
        <f>G292*Food_DB!$C$5</f>
        <v>222</v>
      </c>
      <c r="R292">
        <f>H292/100*Food_DB!$C$6</f>
        <v>12</v>
      </c>
      <c r="S292">
        <f>I292/100*Food_DB!$C$7</f>
        <v>62.5</v>
      </c>
      <c r="T292">
        <f>IFERROR(K292/100*VLOOKUP(J292,Food_DB!$A$2:$F$14,3,FALSE),0)</f>
        <v>300</v>
      </c>
      <c r="U292">
        <f>L292*Food_DB!$C$8</f>
        <v>270</v>
      </c>
      <c r="V292">
        <f t="shared" si="16"/>
        <v>0</v>
      </c>
      <c r="W292">
        <f t="shared" si="17"/>
        <v>1387.5</v>
      </c>
      <c r="X292">
        <f>D292*Food_DB!$D$2+E292/100*Food_DB!$D$3+F292/30*Food_DB!$D$4+G292*Food_DB!$D$5+H292/100*Food_DB!$D$6+I292/100*Food_DB!$D$7+IFERROR(K292/100*VLOOKUP(J292,Food_DB!$A$2:$F$14,4,FALSE),0)+L292*Food_DB!$D$8</f>
        <v>100.49999999999999</v>
      </c>
      <c r="Y292">
        <f>D292*Food_DB!$E$2+E292/100*Food_DB!$E$3+F292/30*Food_DB!$E$4+G292*Food_DB!$E$5+H292/100*Food_DB!$E$6+I292/100*Food_DB!$E$7+IFERROR(K292/100*VLOOKUP(J292,Food_DB!$A$2:$F$14,5,FALSE),0)+L292*Food_DB!$E$8</f>
        <v>32.35</v>
      </c>
      <c r="Z292">
        <f>D292*Food_DB!$F$2+E292/100*Food_DB!$F$3+F292/30*Food_DB!$F$4+G292*Food_DB!$F$5+H292/100*Food_DB!$F$6+I292/100*Food_DB!$F$7+IFERROR(K292/100*VLOOKUP(J292,Food_DB!$A$2:$F$14,6,FALSE),0)+L292*Food_DB!$F$8</f>
        <v>178.15</v>
      </c>
      <c r="AA292">
        <v>6.5</v>
      </c>
      <c r="AB292">
        <v>30</v>
      </c>
      <c r="AC292">
        <v>0</v>
      </c>
      <c r="AD292">
        <v>0</v>
      </c>
      <c r="AE292">
        <f>Dashboard!$B$6*AA292+Dashboard!$B$6*4*AB292/60+Dashboard!$B$6*8*AC292/120+Dashboard!$B$6*7*AD292</f>
        <v>680</v>
      </c>
      <c r="AF292">
        <f>Dashboard!$B$5</f>
        <v>1700</v>
      </c>
      <c r="AG292">
        <f t="shared" si="18"/>
        <v>2720</v>
      </c>
      <c r="AH292">
        <f t="shared" si="19"/>
        <v>-1332.5</v>
      </c>
    </row>
    <row r="293" spans="1:34">
      <c r="A293">
        <v>46469</v>
      </c>
      <c r="B293" t="s">
        <v>91</v>
      </c>
      <c r="C293" t="s">
        <v>89</v>
      </c>
      <c r="D293">
        <v>2</v>
      </c>
      <c r="E293">
        <v>400</v>
      </c>
      <c r="F293">
        <v>30</v>
      </c>
      <c r="G293">
        <v>1</v>
      </c>
      <c r="H293">
        <v>150</v>
      </c>
      <c r="I293">
        <v>250</v>
      </c>
      <c r="J293" t="s">
        <v>90</v>
      </c>
      <c r="K293">
        <v>250</v>
      </c>
      <c r="L293">
        <v>3</v>
      </c>
      <c r="M293">
        <v>0</v>
      </c>
      <c r="N293">
        <f>D293*Food_DB!$C$2</f>
        <v>150</v>
      </c>
      <c r="O293">
        <f>E293/100*Food_DB!$C$3</f>
        <v>260</v>
      </c>
      <c r="P293">
        <f>F293/30*Food_DB!$C$4</f>
        <v>111</v>
      </c>
      <c r="Q293">
        <f>G293*Food_DB!$C$5</f>
        <v>222</v>
      </c>
      <c r="R293">
        <f>H293/100*Food_DB!$C$6</f>
        <v>12</v>
      </c>
      <c r="S293">
        <f>I293/100*Food_DB!$C$7</f>
        <v>62.5</v>
      </c>
      <c r="T293">
        <f>IFERROR(K293/100*VLOOKUP(J293,Food_DB!$A$2:$F$14,3,FALSE),0)</f>
        <v>575</v>
      </c>
      <c r="U293">
        <f>L293*Food_DB!$C$8</f>
        <v>270</v>
      </c>
      <c r="V293">
        <f t="shared" si="16"/>
        <v>0</v>
      </c>
      <c r="W293">
        <f t="shared" si="17"/>
        <v>1662.5</v>
      </c>
      <c r="X293">
        <f>D293*Food_DB!$D$2+E293/100*Food_DB!$D$3+F293/30*Food_DB!$D$4+G293*Food_DB!$D$5+H293/100*Food_DB!$D$6+I293/100*Food_DB!$D$7+IFERROR(K293/100*VLOOKUP(J293,Food_DB!$A$2:$F$14,4,FALSE),0)+L293*Food_DB!$D$8</f>
        <v>87.999999999999986</v>
      </c>
      <c r="Y293">
        <f>D293*Food_DB!$E$2+E293/100*Food_DB!$E$3+F293/30*Food_DB!$E$4+G293*Food_DB!$E$5+H293/100*Food_DB!$E$6+I293/100*Food_DB!$E$7+IFERROR(K293/100*VLOOKUP(J293,Food_DB!$A$2:$F$14,5,FALSE),0)+L293*Food_DB!$E$8</f>
        <v>68.599999999999994</v>
      </c>
      <c r="Z293">
        <f>D293*Food_DB!$F$2+E293/100*Food_DB!$F$3+F293/30*Food_DB!$F$4+G293*Food_DB!$F$5+H293/100*Food_DB!$F$6+I293/100*Food_DB!$F$7+IFERROR(K293/100*VLOOKUP(J293,Food_DB!$A$2:$F$14,6,FALSE),0)+L293*Food_DB!$F$8</f>
        <v>178.15</v>
      </c>
      <c r="AA293">
        <v>6.5</v>
      </c>
      <c r="AB293">
        <v>30</v>
      </c>
      <c r="AC293">
        <v>0</v>
      </c>
      <c r="AD293">
        <v>0</v>
      </c>
      <c r="AE293">
        <f>Dashboard!$B$6*AA293+Dashboard!$B$6*4*AB293/60+Dashboard!$B$6*8*AC293/120+Dashboard!$B$6*7*AD293</f>
        <v>680</v>
      </c>
      <c r="AF293">
        <f>Dashboard!$B$5</f>
        <v>1700</v>
      </c>
      <c r="AG293">
        <f t="shared" si="18"/>
        <v>2720</v>
      </c>
      <c r="AH293">
        <f t="shared" si="19"/>
        <v>-1057.5</v>
      </c>
    </row>
    <row r="294" spans="1:34">
      <c r="A294">
        <v>46470</v>
      </c>
      <c r="B294" t="s">
        <v>92</v>
      </c>
      <c r="C294" t="s">
        <v>89</v>
      </c>
      <c r="D294">
        <v>2</v>
      </c>
      <c r="E294">
        <v>400</v>
      </c>
      <c r="F294">
        <v>30</v>
      </c>
      <c r="G294">
        <v>1</v>
      </c>
      <c r="H294">
        <v>150</v>
      </c>
      <c r="I294">
        <v>250</v>
      </c>
      <c r="J294" t="s">
        <v>82</v>
      </c>
      <c r="K294">
        <v>250</v>
      </c>
      <c r="L294">
        <v>3</v>
      </c>
      <c r="M294">
        <v>0</v>
      </c>
      <c r="N294">
        <f>D294*Food_DB!$C$2</f>
        <v>150</v>
      </c>
      <c r="O294">
        <f>E294/100*Food_DB!$C$3</f>
        <v>260</v>
      </c>
      <c r="P294">
        <f>F294/30*Food_DB!$C$4</f>
        <v>111</v>
      </c>
      <c r="Q294">
        <f>G294*Food_DB!$C$5</f>
        <v>222</v>
      </c>
      <c r="R294">
        <f>H294/100*Food_DB!$C$6</f>
        <v>12</v>
      </c>
      <c r="S294">
        <f>I294/100*Food_DB!$C$7</f>
        <v>62.5</v>
      </c>
      <c r="T294">
        <f>IFERROR(K294/100*VLOOKUP(J294,Food_DB!$A$2:$F$14,3,FALSE),0)</f>
        <v>550</v>
      </c>
      <c r="U294">
        <f>L294*Food_DB!$C$8</f>
        <v>270</v>
      </c>
      <c r="V294">
        <f t="shared" si="16"/>
        <v>0</v>
      </c>
      <c r="W294">
        <f t="shared" si="17"/>
        <v>1637.5</v>
      </c>
      <c r="X294">
        <f>D294*Food_DB!$D$2+E294/100*Food_DB!$D$3+F294/30*Food_DB!$D$4+G294*Food_DB!$D$5+H294/100*Food_DB!$D$6+I294/100*Food_DB!$D$7+IFERROR(K294/100*VLOOKUP(J294,Food_DB!$A$2:$F$14,4,FALSE),0)+L294*Food_DB!$D$8</f>
        <v>92.999999999999986</v>
      </c>
      <c r="Y294">
        <f>D294*Food_DB!$E$2+E294/100*Food_DB!$E$3+F294/30*Food_DB!$E$4+G294*Food_DB!$E$5+H294/100*Food_DB!$E$6+I294/100*Food_DB!$E$7+IFERROR(K294/100*VLOOKUP(J294,Food_DB!$A$2:$F$14,5,FALSE),0)+L294*Food_DB!$E$8</f>
        <v>63.6</v>
      </c>
      <c r="Z294">
        <f>D294*Food_DB!$F$2+E294/100*Food_DB!$F$3+F294/30*Food_DB!$F$4+G294*Food_DB!$F$5+H294/100*Food_DB!$F$6+I294/100*Food_DB!$F$7+IFERROR(K294/100*VLOOKUP(J294,Food_DB!$A$2:$F$14,6,FALSE),0)+L294*Food_DB!$F$8</f>
        <v>178.15</v>
      </c>
      <c r="AA294">
        <v>6.5</v>
      </c>
      <c r="AB294">
        <v>30</v>
      </c>
      <c r="AC294">
        <v>0</v>
      </c>
      <c r="AD294">
        <v>0</v>
      </c>
      <c r="AE294">
        <f>Dashboard!$B$6*AA294+Dashboard!$B$6*4*AB294/60+Dashboard!$B$6*8*AC294/120+Dashboard!$B$6*7*AD294</f>
        <v>680</v>
      </c>
      <c r="AF294">
        <f>Dashboard!$B$5</f>
        <v>1700</v>
      </c>
      <c r="AG294">
        <f t="shared" si="18"/>
        <v>2720</v>
      </c>
      <c r="AH294">
        <f t="shared" si="19"/>
        <v>-1082.5</v>
      </c>
    </row>
    <row r="295" spans="1:34">
      <c r="A295">
        <v>46471</v>
      </c>
      <c r="B295" t="s">
        <v>93</v>
      </c>
      <c r="C295" t="s">
        <v>89</v>
      </c>
      <c r="D295">
        <v>2</v>
      </c>
      <c r="E295">
        <v>400</v>
      </c>
      <c r="F295">
        <v>30</v>
      </c>
      <c r="G295">
        <v>1</v>
      </c>
      <c r="H295">
        <v>150</v>
      </c>
      <c r="I295">
        <v>250</v>
      </c>
      <c r="J295" t="s">
        <v>85</v>
      </c>
      <c r="K295">
        <v>250</v>
      </c>
      <c r="L295">
        <v>3</v>
      </c>
      <c r="M295">
        <v>0</v>
      </c>
      <c r="N295">
        <f>D295*Food_DB!$C$2</f>
        <v>150</v>
      </c>
      <c r="O295">
        <f>E295/100*Food_DB!$C$3</f>
        <v>260</v>
      </c>
      <c r="P295">
        <f>F295/30*Food_DB!$C$4</f>
        <v>111</v>
      </c>
      <c r="Q295">
        <f>G295*Food_DB!$C$5</f>
        <v>222</v>
      </c>
      <c r="R295">
        <f>H295/100*Food_DB!$C$6</f>
        <v>12</v>
      </c>
      <c r="S295">
        <f>I295/100*Food_DB!$C$7</f>
        <v>62.5</v>
      </c>
      <c r="T295">
        <f>IFERROR(K295/100*VLOOKUP(J295,Food_DB!$A$2:$F$14,3,FALSE),0)</f>
        <v>450</v>
      </c>
      <c r="U295">
        <f>L295*Food_DB!$C$8</f>
        <v>270</v>
      </c>
      <c r="V295">
        <f t="shared" si="16"/>
        <v>0</v>
      </c>
      <c r="W295">
        <f t="shared" si="17"/>
        <v>1537.5</v>
      </c>
      <c r="X295">
        <f>D295*Food_DB!$D$2+E295/100*Food_DB!$D$3+F295/30*Food_DB!$D$4+G295*Food_DB!$D$5+H295/100*Food_DB!$D$6+I295/100*Food_DB!$D$7+IFERROR(K295/100*VLOOKUP(J295,Food_DB!$A$2:$F$14,4,FALSE),0)+L295*Food_DB!$D$8</f>
        <v>92.999999999999986</v>
      </c>
      <c r="Y295">
        <f>D295*Food_DB!$E$2+E295/100*Food_DB!$E$3+F295/30*Food_DB!$E$4+G295*Food_DB!$E$5+H295/100*Food_DB!$E$6+I295/100*Food_DB!$E$7+IFERROR(K295/100*VLOOKUP(J295,Food_DB!$A$2:$F$14,5,FALSE),0)+L295*Food_DB!$E$8</f>
        <v>51.1</v>
      </c>
      <c r="Z295">
        <f>D295*Food_DB!$F$2+E295/100*Food_DB!$F$3+F295/30*Food_DB!$F$4+G295*Food_DB!$F$5+H295/100*Food_DB!$F$6+I295/100*Food_DB!$F$7+IFERROR(K295/100*VLOOKUP(J295,Food_DB!$A$2:$F$14,6,FALSE),0)+L295*Food_DB!$F$8</f>
        <v>178.15</v>
      </c>
      <c r="AA295">
        <v>6.5</v>
      </c>
      <c r="AB295">
        <v>30</v>
      </c>
      <c r="AC295">
        <v>0</v>
      </c>
      <c r="AD295">
        <v>0</v>
      </c>
      <c r="AE295">
        <f>Dashboard!$B$6*AA295+Dashboard!$B$6*4*AB295/60+Dashboard!$B$6*8*AC295/120+Dashboard!$B$6*7*AD295</f>
        <v>680</v>
      </c>
      <c r="AF295">
        <f>Dashboard!$B$5</f>
        <v>1700</v>
      </c>
      <c r="AG295">
        <f t="shared" si="18"/>
        <v>2720</v>
      </c>
      <c r="AH295">
        <f t="shared" si="19"/>
        <v>-1182.5</v>
      </c>
    </row>
    <row r="296" spans="1:34">
      <c r="A296">
        <v>46472</v>
      </c>
      <c r="B296" t="s">
        <v>80</v>
      </c>
      <c r="C296" t="s">
        <v>81</v>
      </c>
      <c r="D296">
        <v>2</v>
      </c>
      <c r="E296">
        <v>400</v>
      </c>
      <c r="F296">
        <v>30</v>
      </c>
      <c r="G296">
        <v>1</v>
      </c>
      <c r="H296">
        <v>150</v>
      </c>
      <c r="I296">
        <v>250</v>
      </c>
      <c r="J296" t="s">
        <v>87</v>
      </c>
      <c r="K296">
        <v>250</v>
      </c>
      <c r="L296">
        <v>3</v>
      </c>
      <c r="M296">
        <v>1000</v>
      </c>
      <c r="N296">
        <f>D296*Food_DB!$C$2</f>
        <v>150</v>
      </c>
      <c r="O296">
        <f>E296/100*Food_DB!$C$3</f>
        <v>260</v>
      </c>
      <c r="P296">
        <f>F296/30*Food_DB!$C$4</f>
        <v>111</v>
      </c>
      <c r="Q296">
        <f>G296*Food_DB!$C$5</f>
        <v>222</v>
      </c>
      <c r="R296">
        <f>H296/100*Food_DB!$C$6</f>
        <v>12</v>
      </c>
      <c r="S296">
        <f>I296/100*Food_DB!$C$7</f>
        <v>62.5</v>
      </c>
      <c r="T296">
        <f>IFERROR(K296/100*VLOOKUP(J296,Food_DB!$A$2:$F$14,3,FALSE),0)</f>
        <v>300</v>
      </c>
      <c r="U296">
        <f>L296*Food_DB!$C$8</f>
        <v>270</v>
      </c>
      <c r="V296">
        <f t="shared" si="16"/>
        <v>1000</v>
      </c>
      <c r="W296">
        <f t="shared" si="17"/>
        <v>2387.5</v>
      </c>
      <c r="X296">
        <f>D296*Food_DB!$D$2+E296/100*Food_DB!$D$3+F296/30*Food_DB!$D$4+G296*Food_DB!$D$5+H296/100*Food_DB!$D$6+I296/100*Food_DB!$D$7+IFERROR(K296/100*VLOOKUP(J296,Food_DB!$A$2:$F$14,4,FALSE),0)+L296*Food_DB!$D$8</f>
        <v>100.49999999999999</v>
      </c>
      <c r="Y296">
        <f>D296*Food_DB!$E$2+E296/100*Food_DB!$E$3+F296/30*Food_DB!$E$4+G296*Food_DB!$E$5+H296/100*Food_DB!$E$6+I296/100*Food_DB!$E$7+IFERROR(K296/100*VLOOKUP(J296,Food_DB!$A$2:$F$14,5,FALSE),0)+L296*Food_DB!$E$8</f>
        <v>32.35</v>
      </c>
      <c r="Z296">
        <f>D296*Food_DB!$F$2+E296/100*Food_DB!$F$3+F296/30*Food_DB!$F$4+G296*Food_DB!$F$5+H296/100*Food_DB!$F$6+I296/100*Food_DB!$F$7+IFERROR(K296/100*VLOOKUP(J296,Food_DB!$A$2:$F$14,6,FALSE),0)+L296*Food_DB!$F$8</f>
        <v>178.15</v>
      </c>
      <c r="AA296">
        <v>6.5</v>
      </c>
      <c r="AB296">
        <v>30</v>
      </c>
      <c r="AC296">
        <v>0</v>
      </c>
      <c r="AD296">
        <v>0</v>
      </c>
      <c r="AE296">
        <f>Dashboard!$B$6*AA296+Dashboard!$B$6*4*AB296/60+Dashboard!$B$6*8*AC296/120+Dashboard!$B$6*7*AD296</f>
        <v>680</v>
      </c>
      <c r="AF296">
        <f>Dashboard!$B$5</f>
        <v>1700</v>
      </c>
      <c r="AG296">
        <f t="shared" si="18"/>
        <v>2720</v>
      </c>
      <c r="AH296">
        <f t="shared" si="19"/>
        <v>-332.5</v>
      </c>
    </row>
    <row r="297" spans="1:34">
      <c r="A297">
        <v>46473</v>
      </c>
      <c r="B297" t="s">
        <v>83</v>
      </c>
      <c r="C297" t="s">
        <v>84</v>
      </c>
      <c r="D297">
        <v>2</v>
      </c>
      <c r="E297">
        <v>400</v>
      </c>
      <c r="F297">
        <v>30</v>
      </c>
      <c r="G297">
        <v>1</v>
      </c>
      <c r="H297">
        <v>150</v>
      </c>
      <c r="I297">
        <v>250</v>
      </c>
      <c r="J297" t="s">
        <v>90</v>
      </c>
      <c r="K297">
        <v>250</v>
      </c>
      <c r="L297">
        <v>3</v>
      </c>
      <c r="M297">
        <v>0</v>
      </c>
      <c r="N297">
        <f>D297*Food_DB!$C$2</f>
        <v>150</v>
      </c>
      <c r="O297">
        <f>E297/100*Food_DB!$C$3</f>
        <v>260</v>
      </c>
      <c r="P297">
        <f>F297/30*Food_DB!$C$4</f>
        <v>111</v>
      </c>
      <c r="Q297">
        <f>G297*Food_DB!$C$5</f>
        <v>222</v>
      </c>
      <c r="R297">
        <f>H297/100*Food_DB!$C$6</f>
        <v>12</v>
      </c>
      <c r="S297">
        <f>I297/100*Food_DB!$C$7</f>
        <v>62.5</v>
      </c>
      <c r="T297">
        <f>IFERROR(K297/100*VLOOKUP(J297,Food_DB!$A$2:$F$14,3,FALSE),0)</f>
        <v>575</v>
      </c>
      <c r="U297">
        <f>L297*Food_DB!$C$8</f>
        <v>270</v>
      </c>
      <c r="V297">
        <f t="shared" si="16"/>
        <v>0</v>
      </c>
      <c r="W297">
        <f t="shared" si="17"/>
        <v>1662.5</v>
      </c>
      <c r="X297">
        <f>D297*Food_DB!$D$2+E297/100*Food_DB!$D$3+F297/30*Food_DB!$D$4+G297*Food_DB!$D$5+H297/100*Food_DB!$D$6+I297/100*Food_DB!$D$7+IFERROR(K297/100*VLOOKUP(J297,Food_DB!$A$2:$F$14,4,FALSE),0)+L297*Food_DB!$D$8</f>
        <v>87.999999999999986</v>
      </c>
      <c r="Y297">
        <f>D297*Food_DB!$E$2+E297/100*Food_DB!$E$3+F297/30*Food_DB!$E$4+G297*Food_DB!$E$5+H297/100*Food_DB!$E$6+I297/100*Food_DB!$E$7+IFERROR(K297/100*VLOOKUP(J297,Food_DB!$A$2:$F$14,5,FALSE),0)+L297*Food_DB!$E$8</f>
        <v>68.599999999999994</v>
      </c>
      <c r="Z297">
        <f>D297*Food_DB!$F$2+E297/100*Food_DB!$F$3+F297/30*Food_DB!$F$4+G297*Food_DB!$F$5+H297/100*Food_DB!$F$6+I297/100*Food_DB!$F$7+IFERROR(K297/100*VLOOKUP(J297,Food_DB!$A$2:$F$14,6,FALSE),0)+L297*Food_DB!$F$8</f>
        <v>178.15</v>
      </c>
      <c r="AA297">
        <v>0</v>
      </c>
      <c r="AB297">
        <v>0</v>
      </c>
      <c r="AC297">
        <v>0</v>
      </c>
      <c r="AD297">
        <v>3.5</v>
      </c>
      <c r="AE297">
        <f>Dashboard!$B$6*AA297+Dashboard!$B$6*4*AB297/60+Dashboard!$B$6*8*AC297/120+Dashboard!$B$6*7*AD297</f>
        <v>1960</v>
      </c>
      <c r="AF297">
        <f>Dashboard!$B$5</f>
        <v>1700</v>
      </c>
      <c r="AG297">
        <f t="shared" si="18"/>
        <v>4000</v>
      </c>
      <c r="AH297">
        <f t="shared" si="19"/>
        <v>-2337.5</v>
      </c>
    </row>
    <row r="298" spans="1:34">
      <c r="A298">
        <v>46474</v>
      </c>
      <c r="B298" t="s">
        <v>86</v>
      </c>
      <c r="C298" t="s">
        <v>84</v>
      </c>
      <c r="D298">
        <v>2</v>
      </c>
      <c r="E298">
        <v>400</v>
      </c>
      <c r="F298">
        <v>30</v>
      </c>
      <c r="G298">
        <v>1</v>
      </c>
      <c r="H298">
        <v>150</v>
      </c>
      <c r="I298">
        <v>250</v>
      </c>
      <c r="J298" t="s">
        <v>82</v>
      </c>
      <c r="K298">
        <v>250</v>
      </c>
      <c r="L298">
        <v>3</v>
      </c>
      <c r="M298">
        <v>0</v>
      </c>
      <c r="N298">
        <f>D298*Food_DB!$C$2</f>
        <v>150</v>
      </c>
      <c r="O298">
        <f>E298/100*Food_DB!$C$3</f>
        <v>260</v>
      </c>
      <c r="P298">
        <f>F298/30*Food_DB!$C$4</f>
        <v>111</v>
      </c>
      <c r="Q298">
        <f>G298*Food_DB!$C$5</f>
        <v>222</v>
      </c>
      <c r="R298">
        <f>H298/100*Food_DB!$C$6</f>
        <v>12</v>
      </c>
      <c r="S298">
        <f>I298/100*Food_DB!$C$7</f>
        <v>62.5</v>
      </c>
      <c r="T298">
        <f>IFERROR(K298/100*VLOOKUP(J298,Food_DB!$A$2:$F$14,3,FALSE),0)</f>
        <v>550</v>
      </c>
      <c r="U298">
        <f>L298*Food_DB!$C$8</f>
        <v>270</v>
      </c>
      <c r="V298">
        <f t="shared" si="16"/>
        <v>0</v>
      </c>
      <c r="W298">
        <f t="shared" si="17"/>
        <v>1637.5</v>
      </c>
      <c r="X298">
        <f>D298*Food_DB!$D$2+E298/100*Food_DB!$D$3+F298/30*Food_DB!$D$4+G298*Food_DB!$D$5+H298/100*Food_DB!$D$6+I298/100*Food_DB!$D$7+IFERROR(K298/100*VLOOKUP(J298,Food_DB!$A$2:$F$14,4,FALSE),0)+L298*Food_DB!$D$8</f>
        <v>92.999999999999986</v>
      </c>
      <c r="Y298">
        <f>D298*Food_DB!$E$2+E298/100*Food_DB!$E$3+F298/30*Food_DB!$E$4+G298*Food_DB!$E$5+H298/100*Food_DB!$E$6+I298/100*Food_DB!$E$7+IFERROR(K298/100*VLOOKUP(J298,Food_DB!$A$2:$F$14,5,FALSE),0)+L298*Food_DB!$E$8</f>
        <v>63.6</v>
      </c>
      <c r="Z298">
        <f>D298*Food_DB!$F$2+E298/100*Food_DB!$F$3+F298/30*Food_DB!$F$4+G298*Food_DB!$F$5+H298/100*Food_DB!$F$6+I298/100*Food_DB!$F$7+IFERROR(K298/100*VLOOKUP(J298,Food_DB!$A$2:$F$14,6,FALSE),0)+L298*Food_DB!$F$8</f>
        <v>178.15</v>
      </c>
      <c r="AA298">
        <v>0</v>
      </c>
      <c r="AB298">
        <v>0</v>
      </c>
      <c r="AC298">
        <v>0</v>
      </c>
      <c r="AD298">
        <v>3.5</v>
      </c>
      <c r="AE298">
        <f>Dashboard!$B$6*AA298+Dashboard!$B$6*4*AB298/60+Dashboard!$B$6*8*AC298/120+Dashboard!$B$6*7*AD298</f>
        <v>1960</v>
      </c>
      <c r="AF298">
        <f>Dashboard!$B$5</f>
        <v>1700</v>
      </c>
      <c r="AG298">
        <f t="shared" si="18"/>
        <v>4000</v>
      </c>
      <c r="AH298">
        <f t="shared" si="19"/>
        <v>-2362.5</v>
      </c>
    </row>
    <row r="299" spans="1:34">
      <c r="A299">
        <v>46475</v>
      </c>
      <c r="B299" t="s">
        <v>88</v>
      </c>
      <c r="C299" t="s">
        <v>89</v>
      </c>
      <c r="D299">
        <v>2</v>
      </c>
      <c r="E299">
        <v>400</v>
      </c>
      <c r="F299">
        <v>30</v>
      </c>
      <c r="G299">
        <v>1</v>
      </c>
      <c r="H299">
        <v>150</v>
      </c>
      <c r="I299">
        <v>250</v>
      </c>
      <c r="J299" t="s">
        <v>85</v>
      </c>
      <c r="K299">
        <v>250</v>
      </c>
      <c r="L299">
        <v>3</v>
      </c>
      <c r="M299">
        <v>0</v>
      </c>
      <c r="N299">
        <f>D299*Food_DB!$C$2</f>
        <v>150</v>
      </c>
      <c r="O299">
        <f>E299/100*Food_DB!$C$3</f>
        <v>260</v>
      </c>
      <c r="P299">
        <f>F299/30*Food_DB!$C$4</f>
        <v>111</v>
      </c>
      <c r="Q299">
        <f>G299*Food_DB!$C$5</f>
        <v>222</v>
      </c>
      <c r="R299">
        <f>H299/100*Food_DB!$C$6</f>
        <v>12</v>
      </c>
      <c r="S299">
        <f>I299/100*Food_DB!$C$7</f>
        <v>62.5</v>
      </c>
      <c r="T299">
        <f>IFERROR(K299/100*VLOOKUP(J299,Food_DB!$A$2:$F$14,3,FALSE),0)</f>
        <v>450</v>
      </c>
      <c r="U299">
        <f>L299*Food_DB!$C$8</f>
        <v>270</v>
      </c>
      <c r="V299">
        <f t="shared" si="16"/>
        <v>0</v>
      </c>
      <c r="W299">
        <f t="shared" si="17"/>
        <v>1537.5</v>
      </c>
      <c r="X299">
        <f>D299*Food_DB!$D$2+E299/100*Food_DB!$D$3+F299/30*Food_DB!$D$4+G299*Food_DB!$D$5+H299/100*Food_DB!$D$6+I299/100*Food_DB!$D$7+IFERROR(K299/100*VLOOKUP(J299,Food_DB!$A$2:$F$14,4,FALSE),0)+L299*Food_DB!$D$8</f>
        <v>92.999999999999986</v>
      </c>
      <c r="Y299">
        <f>D299*Food_DB!$E$2+E299/100*Food_DB!$E$3+F299/30*Food_DB!$E$4+G299*Food_DB!$E$5+H299/100*Food_DB!$E$6+I299/100*Food_DB!$E$7+IFERROR(K299/100*VLOOKUP(J299,Food_DB!$A$2:$F$14,5,FALSE),0)+L299*Food_DB!$E$8</f>
        <v>51.1</v>
      </c>
      <c r="Z299">
        <f>D299*Food_DB!$F$2+E299/100*Food_DB!$F$3+F299/30*Food_DB!$F$4+G299*Food_DB!$F$5+H299/100*Food_DB!$F$6+I299/100*Food_DB!$F$7+IFERROR(K299/100*VLOOKUP(J299,Food_DB!$A$2:$F$14,6,FALSE),0)+L299*Food_DB!$F$8</f>
        <v>178.15</v>
      </c>
      <c r="AA299">
        <v>6.5</v>
      </c>
      <c r="AB299">
        <v>30</v>
      </c>
      <c r="AC299">
        <v>0</v>
      </c>
      <c r="AD299">
        <v>0</v>
      </c>
      <c r="AE299">
        <f>Dashboard!$B$6*AA299+Dashboard!$B$6*4*AB299/60+Dashboard!$B$6*8*AC299/120+Dashboard!$B$6*7*AD299</f>
        <v>680</v>
      </c>
      <c r="AF299">
        <f>Dashboard!$B$5</f>
        <v>1700</v>
      </c>
      <c r="AG299">
        <f t="shared" si="18"/>
        <v>2720</v>
      </c>
      <c r="AH299">
        <f t="shared" si="19"/>
        <v>-1182.5</v>
      </c>
    </row>
    <row r="300" spans="1:34">
      <c r="A300">
        <v>46476</v>
      </c>
      <c r="B300" t="s">
        <v>91</v>
      </c>
      <c r="C300" t="s">
        <v>89</v>
      </c>
      <c r="D300">
        <v>2</v>
      </c>
      <c r="E300">
        <v>400</v>
      </c>
      <c r="F300">
        <v>30</v>
      </c>
      <c r="G300">
        <v>1</v>
      </c>
      <c r="H300">
        <v>150</v>
      </c>
      <c r="I300">
        <v>250</v>
      </c>
      <c r="J300" t="s">
        <v>87</v>
      </c>
      <c r="K300">
        <v>250</v>
      </c>
      <c r="L300">
        <v>3</v>
      </c>
      <c r="M300">
        <v>0</v>
      </c>
      <c r="N300">
        <f>D300*Food_DB!$C$2</f>
        <v>150</v>
      </c>
      <c r="O300">
        <f>E300/100*Food_DB!$C$3</f>
        <v>260</v>
      </c>
      <c r="P300">
        <f>F300/30*Food_DB!$C$4</f>
        <v>111</v>
      </c>
      <c r="Q300">
        <f>G300*Food_DB!$C$5</f>
        <v>222</v>
      </c>
      <c r="R300">
        <f>H300/100*Food_DB!$C$6</f>
        <v>12</v>
      </c>
      <c r="S300">
        <f>I300/100*Food_DB!$C$7</f>
        <v>62.5</v>
      </c>
      <c r="T300">
        <f>IFERROR(K300/100*VLOOKUP(J300,Food_DB!$A$2:$F$14,3,FALSE),0)</f>
        <v>300</v>
      </c>
      <c r="U300">
        <f>L300*Food_DB!$C$8</f>
        <v>270</v>
      </c>
      <c r="V300">
        <f t="shared" si="16"/>
        <v>0</v>
      </c>
      <c r="W300">
        <f t="shared" si="17"/>
        <v>1387.5</v>
      </c>
      <c r="X300">
        <f>D300*Food_DB!$D$2+E300/100*Food_DB!$D$3+F300/30*Food_DB!$D$4+G300*Food_DB!$D$5+H300/100*Food_DB!$D$6+I300/100*Food_DB!$D$7+IFERROR(K300/100*VLOOKUP(J300,Food_DB!$A$2:$F$14,4,FALSE),0)+L300*Food_DB!$D$8</f>
        <v>100.49999999999999</v>
      </c>
      <c r="Y300">
        <f>D300*Food_DB!$E$2+E300/100*Food_DB!$E$3+F300/30*Food_DB!$E$4+G300*Food_DB!$E$5+H300/100*Food_DB!$E$6+I300/100*Food_DB!$E$7+IFERROR(K300/100*VLOOKUP(J300,Food_DB!$A$2:$F$14,5,FALSE),0)+L300*Food_DB!$E$8</f>
        <v>32.35</v>
      </c>
      <c r="Z300">
        <f>D300*Food_DB!$F$2+E300/100*Food_DB!$F$3+F300/30*Food_DB!$F$4+G300*Food_DB!$F$5+H300/100*Food_DB!$F$6+I300/100*Food_DB!$F$7+IFERROR(K300/100*VLOOKUP(J300,Food_DB!$A$2:$F$14,6,FALSE),0)+L300*Food_DB!$F$8</f>
        <v>178.15</v>
      </c>
      <c r="AA300">
        <v>6.5</v>
      </c>
      <c r="AB300">
        <v>30</v>
      </c>
      <c r="AC300">
        <v>0</v>
      </c>
      <c r="AD300">
        <v>0</v>
      </c>
      <c r="AE300">
        <f>Dashboard!$B$6*AA300+Dashboard!$B$6*4*AB300/60+Dashboard!$B$6*8*AC300/120+Dashboard!$B$6*7*AD300</f>
        <v>680</v>
      </c>
      <c r="AF300">
        <f>Dashboard!$B$5</f>
        <v>1700</v>
      </c>
      <c r="AG300">
        <f t="shared" si="18"/>
        <v>2720</v>
      </c>
      <c r="AH300">
        <f t="shared" si="19"/>
        <v>-1332.5</v>
      </c>
    </row>
    <row r="301" spans="1:34">
      <c r="A301">
        <v>46477</v>
      </c>
      <c r="B301" t="s">
        <v>92</v>
      </c>
      <c r="C301" t="s">
        <v>89</v>
      </c>
      <c r="D301">
        <v>2</v>
      </c>
      <c r="E301">
        <v>400</v>
      </c>
      <c r="F301">
        <v>30</v>
      </c>
      <c r="G301">
        <v>1</v>
      </c>
      <c r="H301">
        <v>150</v>
      </c>
      <c r="I301">
        <v>250</v>
      </c>
      <c r="J301" t="s">
        <v>90</v>
      </c>
      <c r="K301">
        <v>250</v>
      </c>
      <c r="L301">
        <v>3</v>
      </c>
      <c r="M301">
        <v>0</v>
      </c>
      <c r="N301">
        <f>D301*Food_DB!$C$2</f>
        <v>150</v>
      </c>
      <c r="O301">
        <f>E301/100*Food_DB!$C$3</f>
        <v>260</v>
      </c>
      <c r="P301">
        <f>F301/30*Food_DB!$C$4</f>
        <v>111</v>
      </c>
      <c r="Q301">
        <f>G301*Food_DB!$C$5</f>
        <v>222</v>
      </c>
      <c r="R301">
        <f>H301/100*Food_DB!$C$6</f>
        <v>12</v>
      </c>
      <c r="S301">
        <f>I301/100*Food_DB!$C$7</f>
        <v>62.5</v>
      </c>
      <c r="T301">
        <f>IFERROR(K301/100*VLOOKUP(J301,Food_DB!$A$2:$F$14,3,FALSE),0)</f>
        <v>575</v>
      </c>
      <c r="U301">
        <f>L301*Food_DB!$C$8</f>
        <v>270</v>
      </c>
      <c r="V301">
        <f t="shared" si="16"/>
        <v>0</v>
      </c>
      <c r="W301">
        <f t="shared" si="17"/>
        <v>1662.5</v>
      </c>
      <c r="X301">
        <f>D301*Food_DB!$D$2+E301/100*Food_DB!$D$3+F301/30*Food_DB!$D$4+G301*Food_DB!$D$5+H301/100*Food_DB!$D$6+I301/100*Food_DB!$D$7+IFERROR(K301/100*VLOOKUP(J301,Food_DB!$A$2:$F$14,4,FALSE),0)+L301*Food_DB!$D$8</f>
        <v>87.999999999999986</v>
      </c>
      <c r="Y301">
        <f>D301*Food_DB!$E$2+E301/100*Food_DB!$E$3+F301/30*Food_DB!$E$4+G301*Food_DB!$E$5+H301/100*Food_DB!$E$6+I301/100*Food_DB!$E$7+IFERROR(K301/100*VLOOKUP(J301,Food_DB!$A$2:$F$14,5,FALSE),0)+L301*Food_DB!$E$8</f>
        <v>68.599999999999994</v>
      </c>
      <c r="Z301">
        <f>D301*Food_DB!$F$2+E301/100*Food_DB!$F$3+F301/30*Food_DB!$F$4+G301*Food_DB!$F$5+H301/100*Food_DB!$F$6+I301/100*Food_DB!$F$7+IFERROR(K301/100*VLOOKUP(J301,Food_DB!$A$2:$F$14,6,FALSE),0)+L301*Food_DB!$F$8</f>
        <v>178.15</v>
      </c>
      <c r="AA301">
        <v>6.5</v>
      </c>
      <c r="AB301">
        <v>30</v>
      </c>
      <c r="AC301">
        <v>0</v>
      </c>
      <c r="AD301">
        <v>0</v>
      </c>
      <c r="AE301">
        <f>Dashboard!$B$6*AA301+Dashboard!$B$6*4*AB301/60+Dashboard!$B$6*8*AC301/120+Dashboard!$B$6*7*AD301</f>
        <v>680</v>
      </c>
      <c r="AF301">
        <f>Dashboard!$B$5</f>
        <v>1700</v>
      </c>
      <c r="AG301">
        <f t="shared" si="18"/>
        <v>2720</v>
      </c>
      <c r="AH301">
        <f t="shared" si="19"/>
        <v>-1057.5</v>
      </c>
    </row>
    <row r="302" spans="1:34">
      <c r="A302">
        <v>46478</v>
      </c>
      <c r="B302" t="s">
        <v>93</v>
      </c>
      <c r="C302" t="s">
        <v>89</v>
      </c>
      <c r="D302">
        <v>2</v>
      </c>
      <c r="E302">
        <v>400</v>
      </c>
      <c r="F302">
        <v>30</v>
      </c>
      <c r="G302">
        <v>1</v>
      </c>
      <c r="H302">
        <v>150</v>
      </c>
      <c r="I302">
        <v>250</v>
      </c>
      <c r="J302" t="s">
        <v>82</v>
      </c>
      <c r="K302">
        <v>250</v>
      </c>
      <c r="L302">
        <v>3</v>
      </c>
      <c r="M302">
        <v>0</v>
      </c>
      <c r="N302">
        <f>D302*Food_DB!$C$2</f>
        <v>150</v>
      </c>
      <c r="O302">
        <f>E302/100*Food_DB!$C$3</f>
        <v>260</v>
      </c>
      <c r="P302">
        <f>F302/30*Food_DB!$C$4</f>
        <v>111</v>
      </c>
      <c r="Q302">
        <f>G302*Food_DB!$C$5</f>
        <v>222</v>
      </c>
      <c r="R302">
        <f>H302/100*Food_DB!$C$6</f>
        <v>12</v>
      </c>
      <c r="S302">
        <f>I302/100*Food_DB!$C$7</f>
        <v>62.5</v>
      </c>
      <c r="T302">
        <f>IFERROR(K302/100*VLOOKUP(J302,Food_DB!$A$2:$F$14,3,FALSE),0)</f>
        <v>550</v>
      </c>
      <c r="U302">
        <f>L302*Food_DB!$C$8</f>
        <v>270</v>
      </c>
      <c r="V302">
        <f t="shared" si="16"/>
        <v>0</v>
      </c>
      <c r="W302">
        <f t="shared" si="17"/>
        <v>1637.5</v>
      </c>
      <c r="X302">
        <f>D302*Food_DB!$D$2+E302/100*Food_DB!$D$3+F302/30*Food_DB!$D$4+G302*Food_DB!$D$5+H302/100*Food_DB!$D$6+I302/100*Food_DB!$D$7+IFERROR(K302/100*VLOOKUP(J302,Food_DB!$A$2:$F$14,4,FALSE),0)+L302*Food_DB!$D$8</f>
        <v>92.999999999999986</v>
      </c>
      <c r="Y302">
        <f>D302*Food_DB!$E$2+E302/100*Food_DB!$E$3+F302/30*Food_DB!$E$4+G302*Food_DB!$E$5+H302/100*Food_DB!$E$6+I302/100*Food_DB!$E$7+IFERROR(K302/100*VLOOKUP(J302,Food_DB!$A$2:$F$14,5,FALSE),0)+L302*Food_DB!$E$8</f>
        <v>63.6</v>
      </c>
      <c r="Z302">
        <f>D302*Food_DB!$F$2+E302/100*Food_DB!$F$3+F302/30*Food_DB!$F$4+G302*Food_DB!$F$5+H302/100*Food_DB!$F$6+I302/100*Food_DB!$F$7+IFERROR(K302/100*VLOOKUP(J302,Food_DB!$A$2:$F$14,6,FALSE),0)+L302*Food_DB!$F$8</f>
        <v>178.15</v>
      </c>
      <c r="AA302">
        <v>6.5</v>
      </c>
      <c r="AB302">
        <v>30</v>
      </c>
      <c r="AC302">
        <v>0</v>
      </c>
      <c r="AD302">
        <v>0</v>
      </c>
      <c r="AE302">
        <f>Dashboard!$B$6*AA302+Dashboard!$B$6*4*AB302/60+Dashboard!$B$6*8*AC302/120+Dashboard!$B$6*7*AD302</f>
        <v>680</v>
      </c>
      <c r="AF302">
        <f>Dashboard!$B$5</f>
        <v>1700</v>
      </c>
      <c r="AG302">
        <f t="shared" si="18"/>
        <v>2720</v>
      </c>
      <c r="AH302">
        <f t="shared" si="19"/>
        <v>-1082.5</v>
      </c>
    </row>
    <row r="303" spans="1:34">
      <c r="A303">
        <v>46479</v>
      </c>
      <c r="B303" t="s">
        <v>80</v>
      </c>
      <c r="C303" t="s">
        <v>81</v>
      </c>
      <c r="D303">
        <v>2</v>
      </c>
      <c r="E303">
        <v>400</v>
      </c>
      <c r="F303">
        <v>30</v>
      </c>
      <c r="G303">
        <v>1</v>
      </c>
      <c r="H303">
        <v>150</v>
      </c>
      <c r="I303">
        <v>250</v>
      </c>
      <c r="J303" t="s">
        <v>85</v>
      </c>
      <c r="K303">
        <v>250</v>
      </c>
      <c r="L303">
        <v>3</v>
      </c>
      <c r="M303">
        <v>1000</v>
      </c>
      <c r="N303">
        <f>D303*Food_DB!$C$2</f>
        <v>150</v>
      </c>
      <c r="O303">
        <f>E303/100*Food_DB!$C$3</f>
        <v>260</v>
      </c>
      <c r="P303">
        <f>F303/30*Food_DB!$C$4</f>
        <v>111</v>
      </c>
      <c r="Q303">
        <f>G303*Food_DB!$C$5</f>
        <v>222</v>
      </c>
      <c r="R303">
        <f>H303/100*Food_DB!$C$6</f>
        <v>12</v>
      </c>
      <c r="S303">
        <f>I303/100*Food_DB!$C$7</f>
        <v>62.5</v>
      </c>
      <c r="T303">
        <f>IFERROR(K303/100*VLOOKUP(J303,Food_DB!$A$2:$F$14,3,FALSE),0)</f>
        <v>450</v>
      </c>
      <c r="U303">
        <f>L303*Food_DB!$C$8</f>
        <v>270</v>
      </c>
      <c r="V303">
        <f t="shared" si="16"/>
        <v>1000</v>
      </c>
      <c r="W303">
        <f t="shared" si="17"/>
        <v>2537.5</v>
      </c>
      <c r="X303">
        <f>D303*Food_DB!$D$2+E303/100*Food_DB!$D$3+F303/30*Food_DB!$D$4+G303*Food_DB!$D$5+H303/100*Food_DB!$D$6+I303/100*Food_DB!$D$7+IFERROR(K303/100*VLOOKUP(J303,Food_DB!$A$2:$F$14,4,FALSE),0)+L303*Food_DB!$D$8</f>
        <v>92.999999999999986</v>
      </c>
      <c r="Y303">
        <f>D303*Food_DB!$E$2+E303/100*Food_DB!$E$3+F303/30*Food_DB!$E$4+G303*Food_DB!$E$5+H303/100*Food_DB!$E$6+I303/100*Food_DB!$E$7+IFERROR(K303/100*VLOOKUP(J303,Food_DB!$A$2:$F$14,5,FALSE),0)+L303*Food_DB!$E$8</f>
        <v>51.1</v>
      </c>
      <c r="Z303">
        <f>D303*Food_DB!$F$2+E303/100*Food_DB!$F$3+F303/30*Food_DB!$F$4+G303*Food_DB!$F$5+H303/100*Food_DB!$F$6+I303/100*Food_DB!$F$7+IFERROR(K303/100*VLOOKUP(J303,Food_DB!$A$2:$F$14,6,FALSE),0)+L303*Food_DB!$F$8</f>
        <v>178.15</v>
      </c>
      <c r="AA303">
        <v>6.5</v>
      </c>
      <c r="AB303">
        <v>30</v>
      </c>
      <c r="AC303">
        <v>0</v>
      </c>
      <c r="AD303">
        <v>0</v>
      </c>
      <c r="AE303">
        <f>Dashboard!$B$6*AA303+Dashboard!$B$6*4*AB303/60+Dashboard!$B$6*8*AC303/120+Dashboard!$B$6*7*AD303</f>
        <v>680</v>
      </c>
      <c r="AF303">
        <f>Dashboard!$B$5</f>
        <v>1700</v>
      </c>
      <c r="AG303">
        <f t="shared" si="18"/>
        <v>2720</v>
      </c>
      <c r="AH303">
        <f t="shared" si="19"/>
        <v>-182.5</v>
      </c>
    </row>
    <row r="304" spans="1:34">
      <c r="A304">
        <v>46480</v>
      </c>
      <c r="B304" t="s">
        <v>83</v>
      </c>
      <c r="C304" t="s">
        <v>84</v>
      </c>
      <c r="D304">
        <v>2</v>
      </c>
      <c r="E304">
        <v>400</v>
      </c>
      <c r="F304">
        <v>30</v>
      </c>
      <c r="G304">
        <v>1</v>
      </c>
      <c r="H304">
        <v>150</v>
      </c>
      <c r="I304">
        <v>250</v>
      </c>
      <c r="J304" t="s">
        <v>87</v>
      </c>
      <c r="K304">
        <v>250</v>
      </c>
      <c r="L304">
        <v>3</v>
      </c>
      <c r="M304">
        <v>0</v>
      </c>
      <c r="N304">
        <f>D304*Food_DB!$C$2</f>
        <v>150</v>
      </c>
      <c r="O304">
        <f>E304/100*Food_DB!$C$3</f>
        <v>260</v>
      </c>
      <c r="P304">
        <f>F304/30*Food_DB!$C$4</f>
        <v>111</v>
      </c>
      <c r="Q304">
        <f>G304*Food_DB!$C$5</f>
        <v>222</v>
      </c>
      <c r="R304">
        <f>H304/100*Food_DB!$C$6</f>
        <v>12</v>
      </c>
      <c r="S304">
        <f>I304/100*Food_DB!$C$7</f>
        <v>62.5</v>
      </c>
      <c r="T304">
        <f>IFERROR(K304/100*VLOOKUP(J304,Food_DB!$A$2:$F$14,3,FALSE),0)</f>
        <v>300</v>
      </c>
      <c r="U304">
        <f>L304*Food_DB!$C$8</f>
        <v>270</v>
      </c>
      <c r="V304">
        <f t="shared" si="16"/>
        <v>0</v>
      </c>
      <c r="W304">
        <f t="shared" si="17"/>
        <v>1387.5</v>
      </c>
      <c r="X304">
        <f>D304*Food_DB!$D$2+E304/100*Food_DB!$D$3+F304/30*Food_DB!$D$4+G304*Food_DB!$D$5+H304/100*Food_DB!$D$6+I304/100*Food_DB!$D$7+IFERROR(K304/100*VLOOKUP(J304,Food_DB!$A$2:$F$14,4,FALSE),0)+L304*Food_DB!$D$8</f>
        <v>100.49999999999999</v>
      </c>
      <c r="Y304">
        <f>D304*Food_DB!$E$2+E304/100*Food_DB!$E$3+F304/30*Food_DB!$E$4+G304*Food_DB!$E$5+H304/100*Food_DB!$E$6+I304/100*Food_DB!$E$7+IFERROR(K304/100*VLOOKUP(J304,Food_DB!$A$2:$F$14,5,FALSE),0)+L304*Food_DB!$E$8</f>
        <v>32.35</v>
      </c>
      <c r="Z304">
        <f>D304*Food_DB!$F$2+E304/100*Food_DB!$F$3+F304/30*Food_DB!$F$4+G304*Food_DB!$F$5+H304/100*Food_DB!$F$6+I304/100*Food_DB!$F$7+IFERROR(K304/100*VLOOKUP(J304,Food_DB!$A$2:$F$14,6,FALSE),0)+L304*Food_DB!$F$8</f>
        <v>178.15</v>
      </c>
      <c r="AA304">
        <v>0</v>
      </c>
      <c r="AB304">
        <v>0</v>
      </c>
      <c r="AC304">
        <v>0</v>
      </c>
      <c r="AD304">
        <v>3.5</v>
      </c>
      <c r="AE304">
        <f>Dashboard!$B$6*AA304+Dashboard!$B$6*4*AB304/60+Dashboard!$B$6*8*AC304/120+Dashboard!$B$6*7*AD304</f>
        <v>1960</v>
      </c>
      <c r="AF304">
        <f>Dashboard!$B$5</f>
        <v>1700</v>
      </c>
      <c r="AG304">
        <f t="shared" si="18"/>
        <v>4000</v>
      </c>
      <c r="AH304">
        <f t="shared" si="19"/>
        <v>-2612.5</v>
      </c>
    </row>
    <row r="305" spans="1:34">
      <c r="A305">
        <v>46481</v>
      </c>
      <c r="B305" t="s">
        <v>86</v>
      </c>
      <c r="C305" t="s">
        <v>84</v>
      </c>
      <c r="D305">
        <v>2</v>
      </c>
      <c r="E305">
        <v>400</v>
      </c>
      <c r="F305">
        <v>30</v>
      </c>
      <c r="G305">
        <v>1</v>
      </c>
      <c r="H305">
        <v>150</v>
      </c>
      <c r="I305">
        <v>250</v>
      </c>
      <c r="J305" t="s">
        <v>90</v>
      </c>
      <c r="K305">
        <v>250</v>
      </c>
      <c r="L305">
        <v>3</v>
      </c>
      <c r="M305">
        <v>0</v>
      </c>
      <c r="N305">
        <f>D305*Food_DB!$C$2</f>
        <v>150</v>
      </c>
      <c r="O305">
        <f>E305/100*Food_DB!$C$3</f>
        <v>260</v>
      </c>
      <c r="P305">
        <f>F305/30*Food_DB!$C$4</f>
        <v>111</v>
      </c>
      <c r="Q305">
        <f>G305*Food_DB!$C$5</f>
        <v>222</v>
      </c>
      <c r="R305">
        <f>H305/100*Food_DB!$C$6</f>
        <v>12</v>
      </c>
      <c r="S305">
        <f>I305/100*Food_DB!$C$7</f>
        <v>62.5</v>
      </c>
      <c r="T305">
        <f>IFERROR(K305/100*VLOOKUP(J305,Food_DB!$A$2:$F$14,3,FALSE),0)</f>
        <v>575</v>
      </c>
      <c r="U305">
        <f>L305*Food_DB!$C$8</f>
        <v>270</v>
      </c>
      <c r="V305">
        <f t="shared" si="16"/>
        <v>0</v>
      </c>
      <c r="W305">
        <f t="shared" si="17"/>
        <v>1662.5</v>
      </c>
      <c r="X305">
        <f>D305*Food_DB!$D$2+E305/100*Food_DB!$D$3+F305/30*Food_DB!$D$4+G305*Food_DB!$D$5+H305/100*Food_DB!$D$6+I305/100*Food_DB!$D$7+IFERROR(K305/100*VLOOKUP(J305,Food_DB!$A$2:$F$14,4,FALSE),0)+L305*Food_DB!$D$8</f>
        <v>87.999999999999986</v>
      </c>
      <c r="Y305">
        <f>D305*Food_DB!$E$2+E305/100*Food_DB!$E$3+F305/30*Food_DB!$E$4+G305*Food_DB!$E$5+H305/100*Food_DB!$E$6+I305/100*Food_DB!$E$7+IFERROR(K305/100*VLOOKUP(J305,Food_DB!$A$2:$F$14,5,FALSE),0)+L305*Food_DB!$E$8</f>
        <v>68.599999999999994</v>
      </c>
      <c r="Z305">
        <f>D305*Food_DB!$F$2+E305/100*Food_DB!$F$3+F305/30*Food_DB!$F$4+G305*Food_DB!$F$5+H305/100*Food_DB!$F$6+I305/100*Food_DB!$F$7+IFERROR(K305/100*VLOOKUP(J305,Food_DB!$A$2:$F$14,6,FALSE),0)+L305*Food_DB!$F$8</f>
        <v>178.15</v>
      </c>
      <c r="AA305">
        <v>0</v>
      </c>
      <c r="AB305">
        <v>0</v>
      </c>
      <c r="AC305">
        <v>0</v>
      </c>
      <c r="AD305">
        <v>3.5</v>
      </c>
      <c r="AE305">
        <f>Dashboard!$B$6*AA305+Dashboard!$B$6*4*AB305/60+Dashboard!$B$6*8*AC305/120+Dashboard!$B$6*7*AD305</f>
        <v>1960</v>
      </c>
      <c r="AF305">
        <f>Dashboard!$B$5</f>
        <v>1700</v>
      </c>
      <c r="AG305">
        <f t="shared" si="18"/>
        <v>4000</v>
      </c>
      <c r="AH305">
        <f t="shared" si="19"/>
        <v>-2337.5</v>
      </c>
    </row>
    <row r="306" spans="1:34">
      <c r="A306">
        <v>46482</v>
      </c>
      <c r="B306" t="s">
        <v>88</v>
      </c>
      <c r="C306" t="s">
        <v>89</v>
      </c>
      <c r="D306">
        <v>2</v>
      </c>
      <c r="E306">
        <v>400</v>
      </c>
      <c r="F306">
        <v>30</v>
      </c>
      <c r="G306">
        <v>1</v>
      </c>
      <c r="H306">
        <v>150</v>
      </c>
      <c r="I306">
        <v>250</v>
      </c>
      <c r="J306" t="s">
        <v>82</v>
      </c>
      <c r="K306">
        <v>250</v>
      </c>
      <c r="L306">
        <v>3</v>
      </c>
      <c r="M306">
        <v>0</v>
      </c>
      <c r="N306">
        <f>D306*Food_DB!$C$2</f>
        <v>150</v>
      </c>
      <c r="O306">
        <f>E306/100*Food_DB!$C$3</f>
        <v>260</v>
      </c>
      <c r="P306">
        <f>F306/30*Food_DB!$C$4</f>
        <v>111</v>
      </c>
      <c r="Q306">
        <f>G306*Food_DB!$C$5</f>
        <v>222</v>
      </c>
      <c r="R306">
        <f>H306/100*Food_DB!$C$6</f>
        <v>12</v>
      </c>
      <c r="S306">
        <f>I306/100*Food_DB!$C$7</f>
        <v>62.5</v>
      </c>
      <c r="T306">
        <f>IFERROR(K306/100*VLOOKUP(J306,Food_DB!$A$2:$F$14,3,FALSE),0)</f>
        <v>550</v>
      </c>
      <c r="U306">
        <f>L306*Food_DB!$C$8</f>
        <v>270</v>
      </c>
      <c r="V306">
        <f t="shared" si="16"/>
        <v>0</v>
      </c>
      <c r="W306">
        <f t="shared" si="17"/>
        <v>1637.5</v>
      </c>
      <c r="X306">
        <f>D306*Food_DB!$D$2+E306/100*Food_DB!$D$3+F306/30*Food_DB!$D$4+G306*Food_DB!$D$5+H306/100*Food_DB!$D$6+I306/100*Food_DB!$D$7+IFERROR(K306/100*VLOOKUP(J306,Food_DB!$A$2:$F$14,4,FALSE),0)+L306*Food_DB!$D$8</f>
        <v>92.999999999999986</v>
      </c>
      <c r="Y306">
        <f>D306*Food_DB!$E$2+E306/100*Food_DB!$E$3+F306/30*Food_DB!$E$4+G306*Food_DB!$E$5+H306/100*Food_DB!$E$6+I306/100*Food_DB!$E$7+IFERROR(K306/100*VLOOKUP(J306,Food_DB!$A$2:$F$14,5,FALSE),0)+L306*Food_DB!$E$8</f>
        <v>63.6</v>
      </c>
      <c r="Z306">
        <f>D306*Food_DB!$F$2+E306/100*Food_DB!$F$3+F306/30*Food_DB!$F$4+G306*Food_DB!$F$5+H306/100*Food_DB!$F$6+I306/100*Food_DB!$F$7+IFERROR(K306/100*VLOOKUP(J306,Food_DB!$A$2:$F$14,6,FALSE),0)+L306*Food_DB!$F$8</f>
        <v>178.15</v>
      </c>
      <c r="AA306">
        <v>6.5</v>
      </c>
      <c r="AB306">
        <v>30</v>
      </c>
      <c r="AC306">
        <v>0</v>
      </c>
      <c r="AD306">
        <v>0</v>
      </c>
      <c r="AE306">
        <f>Dashboard!$B$6*AA306+Dashboard!$B$6*4*AB306/60+Dashboard!$B$6*8*AC306/120+Dashboard!$B$6*7*AD306</f>
        <v>680</v>
      </c>
      <c r="AF306">
        <f>Dashboard!$B$5</f>
        <v>1700</v>
      </c>
      <c r="AG306">
        <f t="shared" si="18"/>
        <v>2720</v>
      </c>
      <c r="AH306">
        <f t="shared" si="19"/>
        <v>-1082.5</v>
      </c>
    </row>
    <row r="307" spans="1:34">
      <c r="A307">
        <v>46483</v>
      </c>
      <c r="B307" t="s">
        <v>91</v>
      </c>
      <c r="C307" t="s">
        <v>89</v>
      </c>
      <c r="D307">
        <v>2</v>
      </c>
      <c r="E307">
        <v>400</v>
      </c>
      <c r="F307">
        <v>30</v>
      </c>
      <c r="G307">
        <v>1</v>
      </c>
      <c r="H307">
        <v>150</v>
      </c>
      <c r="I307">
        <v>250</v>
      </c>
      <c r="J307" t="s">
        <v>85</v>
      </c>
      <c r="K307">
        <v>250</v>
      </c>
      <c r="L307">
        <v>3</v>
      </c>
      <c r="M307">
        <v>0</v>
      </c>
      <c r="N307">
        <f>D307*Food_DB!$C$2</f>
        <v>150</v>
      </c>
      <c r="O307">
        <f>E307/100*Food_DB!$C$3</f>
        <v>260</v>
      </c>
      <c r="P307">
        <f>F307/30*Food_DB!$C$4</f>
        <v>111</v>
      </c>
      <c r="Q307">
        <f>G307*Food_DB!$C$5</f>
        <v>222</v>
      </c>
      <c r="R307">
        <f>H307/100*Food_DB!$C$6</f>
        <v>12</v>
      </c>
      <c r="S307">
        <f>I307/100*Food_DB!$C$7</f>
        <v>62.5</v>
      </c>
      <c r="T307">
        <f>IFERROR(K307/100*VLOOKUP(J307,Food_DB!$A$2:$F$14,3,FALSE),0)</f>
        <v>450</v>
      </c>
      <c r="U307">
        <f>L307*Food_DB!$C$8</f>
        <v>270</v>
      </c>
      <c r="V307">
        <f t="shared" si="16"/>
        <v>0</v>
      </c>
      <c r="W307">
        <f t="shared" si="17"/>
        <v>1537.5</v>
      </c>
      <c r="X307">
        <f>D307*Food_DB!$D$2+E307/100*Food_DB!$D$3+F307/30*Food_DB!$D$4+G307*Food_DB!$D$5+H307/100*Food_DB!$D$6+I307/100*Food_DB!$D$7+IFERROR(K307/100*VLOOKUP(J307,Food_DB!$A$2:$F$14,4,FALSE),0)+L307*Food_DB!$D$8</f>
        <v>92.999999999999986</v>
      </c>
      <c r="Y307">
        <f>D307*Food_DB!$E$2+E307/100*Food_DB!$E$3+F307/30*Food_DB!$E$4+G307*Food_DB!$E$5+H307/100*Food_DB!$E$6+I307/100*Food_DB!$E$7+IFERROR(K307/100*VLOOKUP(J307,Food_DB!$A$2:$F$14,5,FALSE),0)+L307*Food_DB!$E$8</f>
        <v>51.1</v>
      </c>
      <c r="Z307">
        <f>D307*Food_DB!$F$2+E307/100*Food_DB!$F$3+F307/30*Food_DB!$F$4+G307*Food_DB!$F$5+H307/100*Food_DB!$F$6+I307/100*Food_DB!$F$7+IFERROR(K307/100*VLOOKUP(J307,Food_DB!$A$2:$F$14,6,FALSE),0)+L307*Food_DB!$F$8</f>
        <v>178.15</v>
      </c>
      <c r="AA307">
        <v>6.5</v>
      </c>
      <c r="AB307">
        <v>30</v>
      </c>
      <c r="AC307">
        <v>0</v>
      </c>
      <c r="AD307">
        <v>0</v>
      </c>
      <c r="AE307">
        <f>Dashboard!$B$6*AA307+Dashboard!$B$6*4*AB307/60+Dashboard!$B$6*8*AC307/120+Dashboard!$B$6*7*AD307</f>
        <v>680</v>
      </c>
      <c r="AF307">
        <f>Dashboard!$B$5</f>
        <v>1700</v>
      </c>
      <c r="AG307">
        <f t="shared" si="18"/>
        <v>2720</v>
      </c>
      <c r="AH307">
        <f t="shared" si="19"/>
        <v>-1182.5</v>
      </c>
    </row>
    <row r="308" spans="1:34">
      <c r="A308">
        <v>46484</v>
      </c>
      <c r="B308" t="s">
        <v>92</v>
      </c>
      <c r="C308" t="s">
        <v>89</v>
      </c>
      <c r="D308">
        <v>2</v>
      </c>
      <c r="E308">
        <v>400</v>
      </c>
      <c r="F308">
        <v>30</v>
      </c>
      <c r="G308">
        <v>1</v>
      </c>
      <c r="H308">
        <v>150</v>
      </c>
      <c r="I308">
        <v>250</v>
      </c>
      <c r="J308" t="s">
        <v>87</v>
      </c>
      <c r="K308">
        <v>250</v>
      </c>
      <c r="L308">
        <v>3</v>
      </c>
      <c r="M308">
        <v>0</v>
      </c>
      <c r="N308">
        <f>D308*Food_DB!$C$2</f>
        <v>150</v>
      </c>
      <c r="O308">
        <f>E308/100*Food_DB!$C$3</f>
        <v>260</v>
      </c>
      <c r="P308">
        <f>F308/30*Food_DB!$C$4</f>
        <v>111</v>
      </c>
      <c r="Q308">
        <f>G308*Food_DB!$C$5</f>
        <v>222</v>
      </c>
      <c r="R308">
        <f>H308/100*Food_DB!$C$6</f>
        <v>12</v>
      </c>
      <c r="S308">
        <f>I308/100*Food_DB!$C$7</f>
        <v>62.5</v>
      </c>
      <c r="T308">
        <f>IFERROR(K308/100*VLOOKUP(J308,Food_DB!$A$2:$F$14,3,FALSE),0)</f>
        <v>300</v>
      </c>
      <c r="U308">
        <f>L308*Food_DB!$C$8</f>
        <v>270</v>
      </c>
      <c r="V308">
        <f t="shared" si="16"/>
        <v>0</v>
      </c>
      <c r="W308">
        <f t="shared" si="17"/>
        <v>1387.5</v>
      </c>
      <c r="X308">
        <f>D308*Food_DB!$D$2+E308/100*Food_DB!$D$3+F308/30*Food_DB!$D$4+G308*Food_DB!$D$5+H308/100*Food_DB!$D$6+I308/100*Food_DB!$D$7+IFERROR(K308/100*VLOOKUP(J308,Food_DB!$A$2:$F$14,4,FALSE),0)+L308*Food_DB!$D$8</f>
        <v>100.49999999999999</v>
      </c>
      <c r="Y308">
        <f>D308*Food_DB!$E$2+E308/100*Food_DB!$E$3+F308/30*Food_DB!$E$4+G308*Food_DB!$E$5+H308/100*Food_DB!$E$6+I308/100*Food_DB!$E$7+IFERROR(K308/100*VLOOKUP(J308,Food_DB!$A$2:$F$14,5,FALSE),0)+L308*Food_DB!$E$8</f>
        <v>32.35</v>
      </c>
      <c r="Z308">
        <f>D308*Food_DB!$F$2+E308/100*Food_DB!$F$3+F308/30*Food_DB!$F$4+G308*Food_DB!$F$5+H308/100*Food_DB!$F$6+I308/100*Food_DB!$F$7+IFERROR(K308/100*VLOOKUP(J308,Food_DB!$A$2:$F$14,6,FALSE),0)+L308*Food_DB!$F$8</f>
        <v>178.15</v>
      </c>
      <c r="AA308">
        <v>6.5</v>
      </c>
      <c r="AB308">
        <v>30</v>
      </c>
      <c r="AC308">
        <v>0</v>
      </c>
      <c r="AD308">
        <v>0</v>
      </c>
      <c r="AE308">
        <f>Dashboard!$B$6*AA308+Dashboard!$B$6*4*AB308/60+Dashboard!$B$6*8*AC308/120+Dashboard!$B$6*7*AD308</f>
        <v>680</v>
      </c>
      <c r="AF308">
        <f>Dashboard!$B$5</f>
        <v>1700</v>
      </c>
      <c r="AG308">
        <f t="shared" si="18"/>
        <v>2720</v>
      </c>
      <c r="AH308">
        <f t="shared" si="19"/>
        <v>-1332.5</v>
      </c>
    </row>
    <row r="309" spans="1:34">
      <c r="A309">
        <v>46485</v>
      </c>
      <c r="B309" t="s">
        <v>93</v>
      </c>
      <c r="C309" t="s">
        <v>89</v>
      </c>
      <c r="D309">
        <v>2</v>
      </c>
      <c r="E309">
        <v>400</v>
      </c>
      <c r="F309">
        <v>30</v>
      </c>
      <c r="G309">
        <v>1</v>
      </c>
      <c r="H309">
        <v>150</v>
      </c>
      <c r="I309">
        <v>250</v>
      </c>
      <c r="J309" t="s">
        <v>90</v>
      </c>
      <c r="K309">
        <v>250</v>
      </c>
      <c r="L309">
        <v>3</v>
      </c>
      <c r="M309">
        <v>0</v>
      </c>
      <c r="N309">
        <f>D309*Food_DB!$C$2</f>
        <v>150</v>
      </c>
      <c r="O309">
        <f>E309/100*Food_DB!$C$3</f>
        <v>260</v>
      </c>
      <c r="P309">
        <f>F309/30*Food_DB!$C$4</f>
        <v>111</v>
      </c>
      <c r="Q309">
        <f>G309*Food_DB!$C$5</f>
        <v>222</v>
      </c>
      <c r="R309">
        <f>H309/100*Food_DB!$C$6</f>
        <v>12</v>
      </c>
      <c r="S309">
        <f>I309/100*Food_DB!$C$7</f>
        <v>62.5</v>
      </c>
      <c r="T309">
        <f>IFERROR(K309/100*VLOOKUP(J309,Food_DB!$A$2:$F$14,3,FALSE),0)</f>
        <v>575</v>
      </c>
      <c r="U309">
        <f>L309*Food_DB!$C$8</f>
        <v>270</v>
      </c>
      <c r="V309">
        <f t="shared" si="16"/>
        <v>0</v>
      </c>
      <c r="W309">
        <f t="shared" si="17"/>
        <v>1662.5</v>
      </c>
      <c r="X309">
        <f>D309*Food_DB!$D$2+E309/100*Food_DB!$D$3+F309/30*Food_DB!$D$4+G309*Food_DB!$D$5+H309/100*Food_DB!$D$6+I309/100*Food_DB!$D$7+IFERROR(K309/100*VLOOKUP(J309,Food_DB!$A$2:$F$14,4,FALSE),0)+L309*Food_DB!$D$8</f>
        <v>87.999999999999986</v>
      </c>
      <c r="Y309">
        <f>D309*Food_DB!$E$2+E309/100*Food_DB!$E$3+F309/30*Food_DB!$E$4+G309*Food_DB!$E$5+H309/100*Food_DB!$E$6+I309/100*Food_DB!$E$7+IFERROR(K309/100*VLOOKUP(J309,Food_DB!$A$2:$F$14,5,FALSE),0)+L309*Food_DB!$E$8</f>
        <v>68.599999999999994</v>
      </c>
      <c r="Z309">
        <f>D309*Food_DB!$F$2+E309/100*Food_DB!$F$3+F309/30*Food_DB!$F$4+G309*Food_DB!$F$5+H309/100*Food_DB!$F$6+I309/100*Food_DB!$F$7+IFERROR(K309/100*VLOOKUP(J309,Food_DB!$A$2:$F$14,6,FALSE),0)+L309*Food_DB!$F$8</f>
        <v>178.15</v>
      </c>
      <c r="AA309">
        <v>6.5</v>
      </c>
      <c r="AB309">
        <v>30</v>
      </c>
      <c r="AC309">
        <v>0</v>
      </c>
      <c r="AD309">
        <v>0</v>
      </c>
      <c r="AE309">
        <f>Dashboard!$B$6*AA309+Dashboard!$B$6*4*AB309/60+Dashboard!$B$6*8*AC309/120+Dashboard!$B$6*7*AD309</f>
        <v>680</v>
      </c>
      <c r="AF309">
        <f>Dashboard!$B$5</f>
        <v>1700</v>
      </c>
      <c r="AG309">
        <f t="shared" si="18"/>
        <v>2720</v>
      </c>
      <c r="AH309">
        <f t="shared" si="19"/>
        <v>-1057.5</v>
      </c>
    </row>
    <row r="310" spans="1:34">
      <c r="A310">
        <v>46486</v>
      </c>
      <c r="B310" t="s">
        <v>80</v>
      </c>
      <c r="C310" t="s">
        <v>81</v>
      </c>
      <c r="D310">
        <v>2</v>
      </c>
      <c r="E310">
        <v>400</v>
      </c>
      <c r="F310">
        <v>30</v>
      </c>
      <c r="G310">
        <v>1</v>
      </c>
      <c r="H310">
        <v>150</v>
      </c>
      <c r="I310">
        <v>250</v>
      </c>
      <c r="J310" t="s">
        <v>82</v>
      </c>
      <c r="K310">
        <v>250</v>
      </c>
      <c r="L310">
        <v>3</v>
      </c>
      <c r="M310">
        <v>1000</v>
      </c>
      <c r="N310">
        <f>D310*Food_DB!$C$2</f>
        <v>150</v>
      </c>
      <c r="O310">
        <f>E310/100*Food_DB!$C$3</f>
        <v>260</v>
      </c>
      <c r="P310">
        <f>F310/30*Food_DB!$C$4</f>
        <v>111</v>
      </c>
      <c r="Q310">
        <f>G310*Food_DB!$C$5</f>
        <v>222</v>
      </c>
      <c r="R310">
        <f>H310/100*Food_DB!$C$6</f>
        <v>12</v>
      </c>
      <c r="S310">
        <f>I310/100*Food_DB!$C$7</f>
        <v>62.5</v>
      </c>
      <c r="T310">
        <f>IFERROR(K310/100*VLOOKUP(J310,Food_DB!$A$2:$F$14,3,FALSE),0)</f>
        <v>550</v>
      </c>
      <c r="U310">
        <f>L310*Food_DB!$C$8</f>
        <v>270</v>
      </c>
      <c r="V310">
        <f t="shared" si="16"/>
        <v>1000</v>
      </c>
      <c r="W310">
        <f t="shared" si="17"/>
        <v>2637.5</v>
      </c>
      <c r="X310">
        <f>D310*Food_DB!$D$2+E310/100*Food_DB!$D$3+F310/30*Food_DB!$D$4+G310*Food_DB!$D$5+H310/100*Food_DB!$D$6+I310/100*Food_DB!$D$7+IFERROR(K310/100*VLOOKUP(J310,Food_DB!$A$2:$F$14,4,FALSE),0)+L310*Food_DB!$D$8</f>
        <v>92.999999999999986</v>
      </c>
      <c r="Y310">
        <f>D310*Food_DB!$E$2+E310/100*Food_DB!$E$3+F310/30*Food_DB!$E$4+G310*Food_DB!$E$5+H310/100*Food_DB!$E$6+I310/100*Food_DB!$E$7+IFERROR(K310/100*VLOOKUP(J310,Food_DB!$A$2:$F$14,5,FALSE),0)+L310*Food_DB!$E$8</f>
        <v>63.6</v>
      </c>
      <c r="Z310">
        <f>D310*Food_DB!$F$2+E310/100*Food_DB!$F$3+F310/30*Food_DB!$F$4+G310*Food_DB!$F$5+H310/100*Food_DB!$F$6+I310/100*Food_DB!$F$7+IFERROR(K310/100*VLOOKUP(J310,Food_DB!$A$2:$F$14,6,FALSE),0)+L310*Food_DB!$F$8</f>
        <v>178.15</v>
      </c>
      <c r="AA310">
        <v>6.5</v>
      </c>
      <c r="AB310">
        <v>30</v>
      </c>
      <c r="AC310">
        <v>0</v>
      </c>
      <c r="AD310">
        <v>0</v>
      </c>
      <c r="AE310">
        <f>Dashboard!$B$6*AA310+Dashboard!$B$6*4*AB310/60+Dashboard!$B$6*8*AC310/120+Dashboard!$B$6*7*AD310</f>
        <v>680</v>
      </c>
      <c r="AF310">
        <f>Dashboard!$B$5</f>
        <v>1700</v>
      </c>
      <c r="AG310">
        <f t="shared" si="18"/>
        <v>2720</v>
      </c>
      <c r="AH310">
        <f t="shared" si="19"/>
        <v>-82.5</v>
      </c>
    </row>
    <row r="311" spans="1:34">
      <c r="A311">
        <v>46487</v>
      </c>
      <c r="B311" t="s">
        <v>83</v>
      </c>
      <c r="C311" t="s">
        <v>84</v>
      </c>
      <c r="D311">
        <v>2</v>
      </c>
      <c r="E311">
        <v>400</v>
      </c>
      <c r="F311">
        <v>30</v>
      </c>
      <c r="G311">
        <v>1</v>
      </c>
      <c r="H311">
        <v>150</v>
      </c>
      <c r="I311">
        <v>250</v>
      </c>
      <c r="J311" t="s">
        <v>85</v>
      </c>
      <c r="K311">
        <v>250</v>
      </c>
      <c r="L311">
        <v>3</v>
      </c>
      <c r="M311">
        <v>0</v>
      </c>
      <c r="N311">
        <f>D311*Food_DB!$C$2</f>
        <v>150</v>
      </c>
      <c r="O311">
        <f>E311/100*Food_DB!$C$3</f>
        <v>260</v>
      </c>
      <c r="P311">
        <f>F311/30*Food_DB!$C$4</f>
        <v>111</v>
      </c>
      <c r="Q311">
        <f>G311*Food_DB!$C$5</f>
        <v>222</v>
      </c>
      <c r="R311">
        <f>H311/100*Food_DB!$C$6</f>
        <v>12</v>
      </c>
      <c r="S311">
        <f>I311/100*Food_DB!$C$7</f>
        <v>62.5</v>
      </c>
      <c r="T311">
        <f>IFERROR(K311/100*VLOOKUP(J311,Food_DB!$A$2:$F$14,3,FALSE),0)</f>
        <v>450</v>
      </c>
      <c r="U311">
        <f>L311*Food_DB!$C$8</f>
        <v>270</v>
      </c>
      <c r="V311">
        <f t="shared" si="16"/>
        <v>0</v>
      </c>
      <c r="W311">
        <f t="shared" si="17"/>
        <v>1537.5</v>
      </c>
      <c r="X311">
        <f>D311*Food_DB!$D$2+E311/100*Food_DB!$D$3+F311/30*Food_DB!$D$4+G311*Food_DB!$D$5+H311/100*Food_DB!$D$6+I311/100*Food_DB!$D$7+IFERROR(K311/100*VLOOKUP(J311,Food_DB!$A$2:$F$14,4,FALSE),0)+L311*Food_DB!$D$8</f>
        <v>92.999999999999986</v>
      </c>
      <c r="Y311">
        <f>D311*Food_DB!$E$2+E311/100*Food_DB!$E$3+F311/30*Food_DB!$E$4+G311*Food_DB!$E$5+H311/100*Food_DB!$E$6+I311/100*Food_DB!$E$7+IFERROR(K311/100*VLOOKUP(J311,Food_DB!$A$2:$F$14,5,FALSE),0)+L311*Food_DB!$E$8</f>
        <v>51.1</v>
      </c>
      <c r="Z311">
        <f>D311*Food_DB!$F$2+E311/100*Food_DB!$F$3+F311/30*Food_DB!$F$4+G311*Food_DB!$F$5+H311/100*Food_DB!$F$6+I311/100*Food_DB!$F$7+IFERROR(K311/100*VLOOKUP(J311,Food_DB!$A$2:$F$14,6,FALSE),0)+L311*Food_DB!$F$8</f>
        <v>178.15</v>
      </c>
      <c r="AA311">
        <v>0</v>
      </c>
      <c r="AB311">
        <v>0</v>
      </c>
      <c r="AC311">
        <v>0</v>
      </c>
      <c r="AD311">
        <v>3.5</v>
      </c>
      <c r="AE311">
        <f>Dashboard!$B$6*AA311+Dashboard!$B$6*4*AB311/60+Dashboard!$B$6*8*AC311/120+Dashboard!$B$6*7*AD311</f>
        <v>1960</v>
      </c>
      <c r="AF311">
        <f>Dashboard!$B$5</f>
        <v>1700</v>
      </c>
      <c r="AG311">
        <f t="shared" si="18"/>
        <v>4000</v>
      </c>
      <c r="AH311">
        <f t="shared" si="19"/>
        <v>-2462.5</v>
      </c>
    </row>
    <row r="312" spans="1:34">
      <c r="A312">
        <v>46488</v>
      </c>
      <c r="B312" t="s">
        <v>86</v>
      </c>
      <c r="C312" t="s">
        <v>84</v>
      </c>
      <c r="D312">
        <v>2</v>
      </c>
      <c r="E312">
        <v>400</v>
      </c>
      <c r="F312">
        <v>30</v>
      </c>
      <c r="G312">
        <v>1</v>
      </c>
      <c r="H312">
        <v>150</v>
      </c>
      <c r="I312">
        <v>250</v>
      </c>
      <c r="J312" t="s">
        <v>87</v>
      </c>
      <c r="K312">
        <v>250</v>
      </c>
      <c r="L312">
        <v>3</v>
      </c>
      <c r="M312">
        <v>0</v>
      </c>
      <c r="N312">
        <f>D312*Food_DB!$C$2</f>
        <v>150</v>
      </c>
      <c r="O312">
        <f>E312/100*Food_DB!$C$3</f>
        <v>260</v>
      </c>
      <c r="P312">
        <f>F312/30*Food_DB!$C$4</f>
        <v>111</v>
      </c>
      <c r="Q312">
        <f>G312*Food_DB!$C$5</f>
        <v>222</v>
      </c>
      <c r="R312">
        <f>H312/100*Food_DB!$C$6</f>
        <v>12</v>
      </c>
      <c r="S312">
        <f>I312/100*Food_DB!$C$7</f>
        <v>62.5</v>
      </c>
      <c r="T312">
        <f>IFERROR(K312/100*VLOOKUP(J312,Food_DB!$A$2:$F$14,3,FALSE),0)</f>
        <v>300</v>
      </c>
      <c r="U312">
        <f>L312*Food_DB!$C$8</f>
        <v>270</v>
      </c>
      <c r="V312">
        <f t="shared" si="16"/>
        <v>0</v>
      </c>
      <c r="W312">
        <f t="shared" si="17"/>
        <v>1387.5</v>
      </c>
      <c r="X312">
        <f>D312*Food_DB!$D$2+E312/100*Food_DB!$D$3+F312/30*Food_DB!$D$4+G312*Food_DB!$D$5+H312/100*Food_DB!$D$6+I312/100*Food_DB!$D$7+IFERROR(K312/100*VLOOKUP(J312,Food_DB!$A$2:$F$14,4,FALSE),0)+L312*Food_DB!$D$8</f>
        <v>100.49999999999999</v>
      </c>
      <c r="Y312">
        <f>D312*Food_DB!$E$2+E312/100*Food_DB!$E$3+F312/30*Food_DB!$E$4+G312*Food_DB!$E$5+H312/100*Food_DB!$E$6+I312/100*Food_DB!$E$7+IFERROR(K312/100*VLOOKUP(J312,Food_DB!$A$2:$F$14,5,FALSE),0)+L312*Food_DB!$E$8</f>
        <v>32.35</v>
      </c>
      <c r="Z312">
        <f>D312*Food_DB!$F$2+E312/100*Food_DB!$F$3+F312/30*Food_DB!$F$4+G312*Food_DB!$F$5+H312/100*Food_DB!$F$6+I312/100*Food_DB!$F$7+IFERROR(K312/100*VLOOKUP(J312,Food_DB!$A$2:$F$14,6,FALSE),0)+L312*Food_DB!$F$8</f>
        <v>178.15</v>
      </c>
      <c r="AA312">
        <v>0</v>
      </c>
      <c r="AB312">
        <v>0</v>
      </c>
      <c r="AC312">
        <v>0</v>
      </c>
      <c r="AD312">
        <v>3.5</v>
      </c>
      <c r="AE312">
        <f>Dashboard!$B$6*AA312+Dashboard!$B$6*4*AB312/60+Dashboard!$B$6*8*AC312/120+Dashboard!$B$6*7*AD312</f>
        <v>1960</v>
      </c>
      <c r="AF312">
        <f>Dashboard!$B$5</f>
        <v>1700</v>
      </c>
      <c r="AG312">
        <f t="shared" si="18"/>
        <v>4000</v>
      </c>
      <c r="AH312">
        <f t="shared" si="19"/>
        <v>-2612.5</v>
      </c>
    </row>
    <row r="313" spans="1:34">
      <c r="A313">
        <v>46489</v>
      </c>
      <c r="B313" t="s">
        <v>88</v>
      </c>
      <c r="C313" t="s">
        <v>89</v>
      </c>
      <c r="D313">
        <v>2</v>
      </c>
      <c r="E313">
        <v>400</v>
      </c>
      <c r="F313">
        <v>30</v>
      </c>
      <c r="G313">
        <v>1</v>
      </c>
      <c r="H313">
        <v>150</v>
      </c>
      <c r="I313">
        <v>250</v>
      </c>
      <c r="J313" t="s">
        <v>90</v>
      </c>
      <c r="K313">
        <v>250</v>
      </c>
      <c r="L313">
        <v>3</v>
      </c>
      <c r="M313">
        <v>0</v>
      </c>
      <c r="N313">
        <f>D313*Food_DB!$C$2</f>
        <v>150</v>
      </c>
      <c r="O313">
        <f>E313/100*Food_DB!$C$3</f>
        <v>260</v>
      </c>
      <c r="P313">
        <f>F313/30*Food_DB!$C$4</f>
        <v>111</v>
      </c>
      <c r="Q313">
        <f>G313*Food_DB!$C$5</f>
        <v>222</v>
      </c>
      <c r="R313">
        <f>H313/100*Food_DB!$C$6</f>
        <v>12</v>
      </c>
      <c r="S313">
        <f>I313/100*Food_DB!$C$7</f>
        <v>62.5</v>
      </c>
      <c r="T313">
        <f>IFERROR(K313/100*VLOOKUP(J313,Food_DB!$A$2:$F$14,3,FALSE),0)</f>
        <v>575</v>
      </c>
      <c r="U313">
        <f>L313*Food_DB!$C$8</f>
        <v>270</v>
      </c>
      <c r="V313">
        <f t="shared" si="16"/>
        <v>0</v>
      </c>
      <c r="W313">
        <f t="shared" si="17"/>
        <v>1662.5</v>
      </c>
      <c r="X313">
        <f>D313*Food_DB!$D$2+E313/100*Food_DB!$D$3+F313/30*Food_DB!$D$4+G313*Food_DB!$D$5+H313/100*Food_DB!$D$6+I313/100*Food_DB!$D$7+IFERROR(K313/100*VLOOKUP(J313,Food_DB!$A$2:$F$14,4,FALSE),0)+L313*Food_DB!$D$8</f>
        <v>87.999999999999986</v>
      </c>
      <c r="Y313">
        <f>D313*Food_DB!$E$2+E313/100*Food_DB!$E$3+F313/30*Food_DB!$E$4+G313*Food_DB!$E$5+H313/100*Food_DB!$E$6+I313/100*Food_DB!$E$7+IFERROR(K313/100*VLOOKUP(J313,Food_DB!$A$2:$F$14,5,FALSE),0)+L313*Food_DB!$E$8</f>
        <v>68.599999999999994</v>
      </c>
      <c r="Z313">
        <f>D313*Food_DB!$F$2+E313/100*Food_DB!$F$3+F313/30*Food_DB!$F$4+G313*Food_DB!$F$5+H313/100*Food_DB!$F$6+I313/100*Food_DB!$F$7+IFERROR(K313/100*VLOOKUP(J313,Food_DB!$A$2:$F$14,6,FALSE),0)+L313*Food_DB!$F$8</f>
        <v>178.15</v>
      </c>
      <c r="AA313">
        <v>6.5</v>
      </c>
      <c r="AB313">
        <v>30</v>
      </c>
      <c r="AC313">
        <v>0</v>
      </c>
      <c r="AD313">
        <v>0</v>
      </c>
      <c r="AE313">
        <f>Dashboard!$B$6*AA313+Dashboard!$B$6*4*AB313/60+Dashboard!$B$6*8*AC313/120+Dashboard!$B$6*7*AD313</f>
        <v>680</v>
      </c>
      <c r="AF313">
        <f>Dashboard!$B$5</f>
        <v>1700</v>
      </c>
      <c r="AG313">
        <f t="shared" si="18"/>
        <v>2720</v>
      </c>
      <c r="AH313">
        <f t="shared" si="19"/>
        <v>-1057.5</v>
      </c>
    </row>
    <row r="314" spans="1:34">
      <c r="A314">
        <v>46490</v>
      </c>
      <c r="B314" t="s">
        <v>91</v>
      </c>
      <c r="C314" t="s">
        <v>89</v>
      </c>
      <c r="D314">
        <v>2</v>
      </c>
      <c r="E314">
        <v>400</v>
      </c>
      <c r="F314">
        <v>30</v>
      </c>
      <c r="G314">
        <v>1</v>
      </c>
      <c r="H314">
        <v>150</v>
      </c>
      <c r="I314">
        <v>250</v>
      </c>
      <c r="J314" t="s">
        <v>82</v>
      </c>
      <c r="K314">
        <v>250</v>
      </c>
      <c r="L314">
        <v>3</v>
      </c>
      <c r="M314">
        <v>0</v>
      </c>
      <c r="N314">
        <f>D314*Food_DB!$C$2</f>
        <v>150</v>
      </c>
      <c r="O314">
        <f>E314/100*Food_DB!$C$3</f>
        <v>260</v>
      </c>
      <c r="P314">
        <f>F314/30*Food_DB!$C$4</f>
        <v>111</v>
      </c>
      <c r="Q314">
        <f>G314*Food_DB!$C$5</f>
        <v>222</v>
      </c>
      <c r="R314">
        <f>H314/100*Food_DB!$C$6</f>
        <v>12</v>
      </c>
      <c r="S314">
        <f>I314/100*Food_DB!$C$7</f>
        <v>62.5</v>
      </c>
      <c r="T314">
        <f>IFERROR(K314/100*VLOOKUP(J314,Food_DB!$A$2:$F$14,3,FALSE),0)</f>
        <v>550</v>
      </c>
      <c r="U314">
        <f>L314*Food_DB!$C$8</f>
        <v>270</v>
      </c>
      <c r="V314">
        <f t="shared" si="16"/>
        <v>0</v>
      </c>
      <c r="W314">
        <f t="shared" si="17"/>
        <v>1637.5</v>
      </c>
      <c r="X314">
        <f>D314*Food_DB!$D$2+E314/100*Food_DB!$D$3+F314/30*Food_DB!$D$4+G314*Food_DB!$D$5+H314/100*Food_DB!$D$6+I314/100*Food_DB!$D$7+IFERROR(K314/100*VLOOKUP(J314,Food_DB!$A$2:$F$14,4,FALSE),0)+L314*Food_DB!$D$8</f>
        <v>92.999999999999986</v>
      </c>
      <c r="Y314">
        <f>D314*Food_DB!$E$2+E314/100*Food_DB!$E$3+F314/30*Food_DB!$E$4+G314*Food_DB!$E$5+H314/100*Food_DB!$E$6+I314/100*Food_DB!$E$7+IFERROR(K314/100*VLOOKUP(J314,Food_DB!$A$2:$F$14,5,FALSE),0)+L314*Food_DB!$E$8</f>
        <v>63.6</v>
      </c>
      <c r="Z314">
        <f>D314*Food_DB!$F$2+E314/100*Food_DB!$F$3+F314/30*Food_DB!$F$4+G314*Food_DB!$F$5+H314/100*Food_DB!$F$6+I314/100*Food_DB!$F$7+IFERROR(K314/100*VLOOKUP(J314,Food_DB!$A$2:$F$14,6,FALSE),0)+L314*Food_DB!$F$8</f>
        <v>178.15</v>
      </c>
      <c r="AA314">
        <v>6.5</v>
      </c>
      <c r="AB314">
        <v>30</v>
      </c>
      <c r="AC314">
        <v>0</v>
      </c>
      <c r="AD314">
        <v>0</v>
      </c>
      <c r="AE314">
        <f>Dashboard!$B$6*AA314+Dashboard!$B$6*4*AB314/60+Dashboard!$B$6*8*AC314/120+Dashboard!$B$6*7*AD314</f>
        <v>680</v>
      </c>
      <c r="AF314">
        <f>Dashboard!$B$5</f>
        <v>1700</v>
      </c>
      <c r="AG314">
        <f t="shared" si="18"/>
        <v>2720</v>
      </c>
      <c r="AH314">
        <f t="shared" si="19"/>
        <v>-1082.5</v>
      </c>
    </row>
    <row r="315" spans="1:34">
      <c r="A315">
        <v>46491</v>
      </c>
      <c r="B315" t="s">
        <v>92</v>
      </c>
      <c r="C315" t="s">
        <v>89</v>
      </c>
      <c r="D315">
        <v>2</v>
      </c>
      <c r="E315">
        <v>400</v>
      </c>
      <c r="F315">
        <v>30</v>
      </c>
      <c r="G315">
        <v>1</v>
      </c>
      <c r="H315">
        <v>150</v>
      </c>
      <c r="I315">
        <v>250</v>
      </c>
      <c r="J315" t="s">
        <v>85</v>
      </c>
      <c r="K315">
        <v>250</v>
      </c>
      <c r="L315">
        <v>3</v>
      </c>
      <c r="M315">
        <v>0</v>
      </c>
      <c r="N315">
        <f>D315*Food_DB!$C$2</f>
        <v>150</v>
      </c>
      <c r="O315">
        <f>E315/100*Food_DB!$C$3</f>
        <v>260</v>
      </c>
      <c r="P315">
        <f>F315/30*Food_DB!$C$4</f>
        <v>111</v>
      </c>
      <c r="Q315">
        <f>G315*Food_DB!$C$5</f>
        <v>222</v>
      </c>
      <c r="R315">
        <f>H315/100*Food_DB!$C$6</f>
        <v>12</v>
      </c>
      <c r="S315">
        <f>I315/100*Food_DB!$C$7</f>
        <v>62.5</v>
      </c>
      <c r="T315">
        <f>IFERROR(K315/100*VLOOKUP(J315,Food_DB!$A$2:$F$14,3,FALSE),0)</f>
        <v>450</v>
      </c>
      <c r="U315">
        <f>L315*Food_DB!$C$8</f>
        <v>270</v>
      </c>
      <c r="V315">
        <f t="shared" si="16"/>
        <v>0</v>
      </c>
      <c r="W315">
        <f t="shared" si="17"/>
        <v>1537.5</v>
      </c>
      <c r="X315">
        <f>D315*Food_DB!$D$2+E315/100*Food_DB!$D$3+F315/30*Food_DB!$D$4+G315*Food_DB!$D$5+H315/100*Food_DB!$D$6+I315/100*Food_DB!$D$7+IFERROR(K315/100*VLOOKUP(J315,Food_DB!$A$2:$F$14,4,FALSE),0)+L315*Food_DB!$D$8</f>
        <v>92.999999999999986</v>
      </c>
      <c r="Y315">
        <f>D315*Food_DB!$E$2+E315/100*Food_DB!$E$3+F315/30*Food_DB!$E$4+G315*Food_DB!$E$5+H315/100*Food_DB!$E$6+I315/100*Food_DB!$E$7+IFERROR(K315/100*VLOOKUP(J315,Food_DB!$A$2:$F$14,5,FALSE),0)+L315*Food_DB!$E$8</f>
        <v>51.1</v>
      </c>
      <c r="Z315">
        <f>D315*Food_DB!$F$2+E315/100*Food_DB!$F$3+F315/30*Food_DB!$F$4+G315*Food_DB!$F$5+H315/100*Food_DB!$F$6+I315/100*Food_DB!$F$7+IFERROR(K315/100*VLOOKUP(J315,Food_DB!$A$2:$F$14,6,FALSE),0)+L315*Food_DB!$F$8</f>
        <v>178.15</v>
      </c>
      <c r="AA315">
        <v>6.5</v>
      </c>
      <c r="AB315">
        <v>30</v>
      </c>
      <c r="AC315">
        <v>0</v>
      </c>
      <c r="AD315">
        <v>0</v>
      </c>
      <c r="AE315">
        <f>Dashboard!$B$6*AA315+Dashboard!$B$6*4*AB315/60+Dashboard!$B$6*8*AC315/120+Dashboard!$B$6*7*AD315</f>
        <v>680</v>
      </c>
      <c r="AF315">
        <f>Dashboard!$B$5</f>
        <v>1700</v>
      </c>
      <c r="AG315">
        <f t="shared" si="18"/>
        <v>2720</v>
      </c>
      <c r="AH315">
        <f t="shared" si="19"/>
        <v>-1182.5</v>
      </c>
    </row>
    <row r="316" spans="1:34">
      <c r="A316">
        <v>46492</v>
      </c>
      <c r="B316" t="s">
        <v>93</v>
      </c>
      <c r="C316" t="s">
        <v>89</v>
      </c>
      <c r="D316">
        <v>2</v>
      </c>
      <c r="E316">
        <v>400</v>
      </c>
      <c r="F316">
        <v>30</v>
      </c>
      <c r="G316">
        <v>1</v>
      </c>
      <c r="H316">
        <v>150</v>
      </c>
      <c r="I316">
        <v>250</v>
      </c>
      <c r="J316" t="s">
        <v>87</v>
      </c>
      <c r="K316">
        <v>250</v>
      </c>
      <c r="L316">
        <v>3</v>
      </c>
      <c r="M316">
        <v>0</v>
      </c>
      <c r="N316">
        <f>D316*Food_DB!$C$2</f>
        <v>150</v>
      </c>
      <c r="O316">
        <f>E316/100*Food_DB!$C$3</f>
        <v>260</v>
      </c>
      <c r="P316">
        <f>F316/30*Food_DB!$C$4</f>
        <v>111</v>
      </c>
      <c r="Q316">
        <f>G316*Food_DB!$C$5</f>
        <v>222</v>
      </c>
      <c r="R316">
        <f>H316/100*Food_DB!$C$6</f>
        <v>12</v>
      </c>
      <c r="S316">
        <f>I316/100*Food_DB!$C$7</f>
        <v>62.5</v>
      </c>
      <c r="T316">
        <f>IFERROR(K316/100*VLOOKUP(J316,Food_DB!$A$2:$F$14,3,FALSE),0)</f>
        <v>300</v>
      </c>
      <c r="U316">
        <f>L316*Food_DB!$C$8</f>
        <v>270</v>
      </c>
      <c r="V316">
        <f t="shared" si="16"/>
        <v>0</v>
      </c>
      <c r="W316">
        <f t="shared" si="17"/>
        <v>1387.5</v>
      </c>
      <c r="X316">
        <f>D316*Food_DB!$D$2+E316/100*Food_DB!$D$3+F316/30*Food_DB!$D$4+G316*Food_DB!$D$5+H316/100*Food_DB!$D$6+I316/100*Food_DB!$D$7+IFERROR(K316/100*VLOOKUP(J316,Food_DB!$A$2:$F$14,4,FALSE),0)+L316*Food_DB!$D$8</f>
        <v>100.49999999999999</v>
      </c>
      <c r="Y316">
        <f>D316*Food_DB!$E$2+E316/100*Food_DB!$E$3+F316/30*Food_DB!$E$4+G316*Food_DB!$E$5+H316/100*Food_DB!$E$6+I316/100*Food_DB!$E$7+IFERROR(K316/100*VLOOKUP(J316,Food_DB!$A$2:$F$14,5,FALSE),0)+L316*Food_DB!$E$8</f>
        <v>32.35</v>
      </c>
      <c r="Z316">
        <f>D316*Food_DB!$F$2+E316/100*Food_DB!$F$3+F316/30*Food_DB!$F$4+G316*Food_DB!$F$5+H316/100*Food_DB!$F$6+I316/100*Food_DB!$F$7+IFERROR(K316/100*VLOOKUP(J316,Food_DB!$A$2:$F$14,6,FALSE),0)+L316*Food_DB!$F$8</f>
        <v>178.15</v>
      </c>
      <c r="AA316">
        <v>6.5</v>
      </c>
      <c r="AB316">
        <v>30</v>
      </c>
      <c r="AC316">
        <v>0</v>
      </c>
      <c r="AD316">
        <v>0</v>
      </c>
      <c r="AE316">
        <f>Dashboard!$B$6*AA316+Dashboard!$B$6*4*AB316/60+Dashboard!$B$6*8*AC316/120+Dashboard!$B$6*7*AD316</f>
        <v>680</v>
      </c>
      <c r="AF316">
        <f>Dashboard!$B$5</f>
        <v>1700</v>
      </c>
      <c r="AG316">
        <f t="shared" si="18"/>
        <v>2720</v>
      </c>
      <c r="AH316">
        <f t="shared" si="19"/>
        <v>-1332.5</v>
      </c>
    </row>
    <row r="317" spans="1:34">
      <c r="A317">
        <v>46493</v>
      </c>
      <c r="B317" t="s">
        <v>80</v>
      </c>
      <c r="C317" t="s">
        <v>81</v>
      </c>
      <c r="D317">
        <v>2</v>
      </c>
      <c r="E317">
        <v>400</v>
      </c>
      <c r="F317">
        <v>30</v>
      </c>
      <c r="G317">
        <v>1</v>
      </c>
      <c r="H317">
        <v>150</v>
      </c>
      <c r="I317">
        <v>250</v>
      </c>
      <c r="J317" t="s">
        <v>90</v>
      </c>
      <c r="K317">
        <v>250</v>
      </c>
      <c r="L317">
        <v>3</v>
      </c>
      <c r="M317">
        <v>1000</v>
      </c>
      <c r="N317">
        <f>D317*Food_DB!$C$2</f>
        <v>150</v>
      </c>
      <c r="O317">
        <f>E317/100*Food_DB!$C$3</f>
        <v>260</v>
      </c>
      <c r="P317">
        <f>F317/30*Food_DB!$C$4</f>
        <v>111</v>
      </c>
      <c r="Q317">
        <f>G317*Food_DB!$C$5</f>
        <v>222</v>
      </c>
      <c r="R317">
        <f>H317/100*Food_DB!$C$6</f>
        <v>12</v>
      </c>
      <c r="S317">
        <f>I317/100*Food_DB!$C$7</f>
        <v>62.5</v>
      </c>
      <c r="T317">
        <f>IFERROR(K317/100*VLOOKUP(J317,Food_DB!$A$2:$F$14,3,FALSE),0)</f>
        <v>575</v>
      </c>
      <c r="U317">
        <f>L317*Food_DB!$C$8</f>
        <v>270</v>
      </c>
      <c r="V317">
        <f t="shared" si="16"/>
        <v>1000</v>
      </c>
      <c r="W317">
        <f t="shared" si="17"/>
        <v>2662.5</v>
      </c>
      <c r="X317">
        <f>D317*Food_DB!$D$2+E317/100*Food_DB!$D$3+F317/30*Food_DB!$D$4+G317*Food_DB!$D$5+H317/100*Food_DB!$D$6+I317/100*Food_DB!$D$7+IFERROR(K317/100*VLOOKUP(J317,Food_DB!$A$2:$F$14,4,FALSE),0)+L317*Food_DB!$D$8</f>
        <v>87.999999999999986</v>
      </c>
      <c r="Y317">
        <f>D317*Food_DB!$E$2+E317/100*Food_DB!$E$3+F317/30*Food_DB!$E$4+G317*Food_DB!$E$5+H317/100*Food_DB!$E$6+I317/100*Food_DB!$E$7+IFERROR(K317/100*VLOOKUP(J317,Food_DB!$A$2:$F$14,5,FALSE),0)+L317*Food_DB!$E$8</f>
        <v>68.599999999999994</v>
      </c>
      <c r="Z317">
        <f>D317*Food_DB!$F$2+E317/100*Food_DB!$F$3+F317/30*Food_DB!$F$4+G317*Food_DB!$F$5+H317/100*Food_DB!$F$6+I317/100*Food_DB!$F$7+IFERROR(K317/100*VLOOKUP(J317,Food_DB!$A$2:$F$14,6,FALSE),0)+L317*Food_DB!$F$8</f>
        <v>178.15</v>
      </c>
      <c r="AA317">
        <v>6.5</v>
      </c>
      <c r="AB317">
        <v>30</v>
      </c>
      <c r="AC317">
        <v>0</v>
      </c>
      <c r="AD317">
        <v>0</v>
      </c>
      <c r="AE317">
        <f>Dashboard!$B$6*AA317+Dashboard!$B$6*4*AB317/60+Dashboard!$B$6*8*AC317/120+Dashboard!$B$6*7*AD317</f>
        <v>680</v>
      </c>
      <c r="AF317">
        <f>Dashboard!$B$5</f>
        <v>1700</v>
      </c>
      <c r="AG317">
        <f t="shared" si="18"/>
        <v>2720</v>
      </c>
      <c r="AH317">
        <f t="shared" si="19"/>
        <v>-57.5</v>
      </c>
    </row>
    <row r="318" spans="1:34">
      <c r="A318">
        <v>46494</v>
      </c>
      <c r="B318" t="s">
        <v>83</v>
      </c>
      <c r="C318" t="s">
        <v>84</v>
      </c>
      <c r="D318">
        <v>2</v>
      </c>
      <c r="E318">
        <v>400</v>
      </c>
      <c r="F318">
        <v>30</v>
      </c>
      <c r="G318">
        <v>1</v>
      </c>
      <c r="H318">
        <v>150</v>
      </c>
      <c r="I318">
        <v>250</v>
      </c>
      <c r="J318" t="s">
        <v>82</v>
      </c>
      <c r="K318">
        <v>250</v>
      </c>
      <c r="L318">
        <v>3</v>
      </c>
      <c r="M318">
        <v>0</v>
      </c>
      <c r="N318">
        <f>D318*Food_DB!$C$2</f>
        <v>150</v>
      </c>
      <c r="O318">
        <f>E318/100*Food_DB!$C$3</f>
        <v>260</v>
      </c>
      <c r="P318">
        <f>F318/30*Food_DB!$C$4</f>
        <v>111</v>
      </c>
      <c r="Q318">
        <f>G318*Food_DB!$C$5</f>
        <v>222</v>
      </c>
      <c r="R318">
        <f>H318/100*Food_DB!$C$6</f>
        <v>12</v>
      </c>
      <c r="S318">
        <f>I318/100*Food_DB!$C$7</f>
        <v>62.5</v>
      </c>
      <c r="T318">
        <f>IFERROR(K318/100*VLOOKUP(J318,Food_DB!$A$2:$F$14,3,FALSE),0)</f>
        <v>550</v>
      </c>
      <c r="U318">
        <f>L318*Food_DB!$C$8</f>
        <v>270</v>
      </c>
      <c r="V318">
        <f t="shared" si="16"/>
        <v>0</v>
      </c>
      <c r="W318">
        <f t="shared" si="17"/>
        <v>1637.5</v>
      </c>
      <c r="X318">
        <f>D318*Food_DB!$D$2+E318/100*Food_DB!$D$3+F318/30*Food_DB!$D$4+G318*Food_DB!$D$5+H318/100*Food_DB!$D$6+I318/100*Food_DB!$D$7+IFERROR(K318/100*VLOOKUP(J318,Food_DB!$A$2:$F$14,4,FALSE),0)+L318*Food_DB!$D$8</f>
        <v>92.999999999999986</v>
      </c>
      <c r="Y318">
        <f>D318*Food_DB!$E$2+E318/100*Food_DB!$E$3+F318/30*Food_DB!$E$4+G318*Food_DB!$E$5+H318/100*Food_DB!$E$6+I318/100*Food_DB!$E$7+IFERROR(K318/100*VLOOKUP(J318,Food_DB!$A$2:$F$14,5,FALSE),0)+L318*Food_DB!$E$8</f>
        <v>63.6</v>
      </c>
      <c r="Z318">
        <f>D318*Food_DB!$F$2+E318/100*Food_DB!$F$3+F318/30*Food_DB!$F$4+G318*Food_DB!$F$5+H318/100*Food_DB!$F$6+I318/100*Food_DB!$F$7+IFERROR(K318/100*VLOOKUP(J318,Food_DB!$A$2:$F$14,6,FALSE),0)+L318*Food_DB!$F$8</f>
        <v>178.15</v>
      </c>
      <c r="AA318">
        <v>0</v>
      </c>
      <c r="AB318">
        <v>0</v>
      </c>
      <c r="AC318">
        <v>0</v>
      </c>
      <c r="AD318">
        <v>3.5</v>
      </c>
      <c r="AE318">
        <f>Dashboard!$B$6*AA318+Dashboard!$B$6*4*AB318/60+Dashboard!$B$6*8*AC318/120+Dashboard!$B$6*7*AD318</f>
        <v>1960</v>
      </c>
      <c r="AF318">
        <f>Dashboard!$B$5</f>
        <v>1700</v>
      </c>
      <c r="AG318">
        <f t="shared" si="18"/>
        <v>4000</v>
      </c>
      <c r="AH318">
        <f t="shared" si="19"/>
        <v>-2362.5</v>
      </c>
    </row>
    <row r="319" spans="1:34">
      <c r="A319">
        <v>46495</v>
      </c>
      <c r="B319" t="s">
        <v>86</v>
      </c>
      <c r="C319" t="s">
        <v>84</v>
      </c>
      <c r="D319">
        <v>2</v>
      </c>
      <c r="E319">
        <v>400</v>
      </c>
      <c r="F319">
        <v>30</v>
      </c>
      <c r="G319">
        <v>1</v>
      </c>
      <c r="H319">
        <v>150</v>
      </c>
      <c r="I319">
        <v>250</v>
      </c>
      <c r="J319" t="s">
        <v>85</v>
      </c>
      <c r="K319">
        <v>250</v>
      </c>
      <c r="L319">
        <v>3</v>
      </c>
      <c r="M319">
        <v>0</v>
      </c>
      <c r="N319">
        <f>D319*Food_DB!$C$2</f>
        <v>150</v>
      </c>
      <c r="O319">
        <f>E319/100*Food_DB!$C$3</f>
        <v>260</v>
      </c>
      <c r="P319">
        <f>F319/30*Food_DB!$C$4</f>
        <v>111</v>
      </c>
      <c r="Q319">
        <f>G319*Food_DB!$C$5</f>
        <v>222</v>
      </c>
      <c r="R319">
        <f>H319/100*Food_DB!$C$6</f>
        <v>12</v>
      </c>
      <c r="S319">
        <f>I319/100*Food_DB!$C$7</f>
        <v>62.5</v>
      </c>
      <c r="T319">
        <f>IFERROR(K319/100*VLOOKUP(J319,Food_DB!$A$2:$F$14,3,FALSE),0)</f>
        <v>450</v>
      </c>
      <c r="U319">
        <f>L319*Food_DB!$C$8</f>
        <v>270</v>
      </c>
      <c r="V319">
        <f t="shared" si="16"/>
        <v>0</v>
      </c>
      <c r="W319">
        <f t="shared" si="17"/>
        <v>1537.5</v>
      </c>
      <c r="X319">
        <f>D319*Food_DB!$D$2+E319/100*Food_DB!$D$3+F319/30*Food_DB!$D$4+G319*Food_DB!$D$5+H319/100*Food_DB!$D$6+I319/100*Food_DB!$D$7+IFERROR(K319/100*VLOOKUP(J319,Food_DB!$A$2:$F$14,4,FALSE),0)+L319*Food_DB!$D$8</f>
        <v>92.999999999999986</v>
      </c>
      <c r="Y319">
        <f>D319*Food_DB!$E$2+E319/100*Food_DB!$E$3+F319/30*Food_DB!$E$4+G319*Food_DB!$E$5+H319/100*Food_DB!$E$6+I319/100*Food_DB!$E$7+IFERROR(K319/100*VLOOKUP(J319,Food_DB!$A$2:$F$14,5,FALSE),0)+L319*Food_DB!$E$8</f>
        <v>51.1</v>
      </c>
      <c r="Z319">
        <f>D319*Food_DB!$F$2+E319/100*Food_DB!$F$3+F319/30*Food_DB!$F$4+G319*Food_DB!$F$5+H319/100*Food_DB!$F$6+I319/100*Food_DB!$F$7+IFERROR(K319/100*VLOOKUP(J319,Food_DB!$A$2:$F$14,6,FALSE),0)+L319*Food_DB!$F$8</f>
        <v>178.15</v>
      </c>
      <c r="AA319">
        <v>0</v>
      </c>
      <c r="AB319">
        <v>0</v>
      </c>
      <c r="AC319">
        <v>0</v>
      </c>
      <c r="AD319">
        <v>3.5</v>
      </c>
      <c r="AE319">
        <f>Dashboard!$B$6*AA319+Dashboard!$B$6*4*AB319/60+Dashboard!$B$6*8*AC319/120+Dashboard!$B$6*7*AD319</f>
        <v>1960</v>
      </c>
      <c r="AF319">
        <f>Dashboard!$B$5</f>
        <v>1700</v>
      </c>
      <c r="AG319">
        <f t="shared" si="18"/>
        <v>4000</v>
      </c>
      <c r="AH319">
        <f t="shared" si="19"/>
        <v>-2462.5</v>
      </c>
    </row>
    <row r="320" spans="1:34">
      <c r="A320">
        <v>46496</v>
      </c>
      <c r="B320" t="s">
        <v>88</v>
      </c>
      <c r="C320" t="s">
        <v>89</v>
      </c>
      <c r="D320">
        <v>2</v>
      </c>
      <c r="E320">
        <v>400</v>
      </c>
      <c r="F320">
        <v>30</v>
      </c>
      <c r="G320">
        <v>1</v>
      </c>
      <c r="H320">
        <v>150</v>
      </c>
      <c r="I320">
        <v>250</v>
      </c>
      <c r="J320" t="s">
        <v>87</v>
      </c>
      <c r="K320">
        <v>250</v>
      </c>
      <c r="L320">
        <v>3</v>
      </c>
      <c r="M320">
        <v>0</v>
      </c>
      <c r="N320">
        <f>D320*Food_DB!$C$2</f>
        <v>150</v>
      </c>
      <c r="O320">
        <f>E320/100*Food_DB!$C$3</f>
        <v>260</v>
      </c>
      <c r="P320">
        <f>F320/30*Food_DB!$C$4</f>
        <v>111</v>
      </c>
      <c r="Q320">
        <f>G320*Food_DB!$C$5</f>
        <v>222</v>
      </c>
      <c r="R320">
        <f>H320/100*Food_DB!$C$6</f>
        <v>12</v>
      </c>
      <c r="S320">
        <f>I320/100*Food_DB!$C$7</f>
        <v>62.5</v>
      </c>
      <c r="T320">
        <f>IFERROR(K320/100*VLOOKUP(J320,Food_DB!$A$2:$F$14,3,FALSE),0)</f>
        <v>300</v>
      </c>
      <c r="U320">
        <f>L320*Food_DB!$C$8</f>
        <v>270</v>
      </c>
      <c r="V320">
        <f t="shared" si="16"/>
        <v>0</v>
      </c>
      <c r="W320">
        <f t="shared" si="17"/>
        <v>1387.5</v>
      </c>
      <c r="X320">
        <f>D320*Food_DB!$D$2+E320/100*Food_DB!$D$3+F320/30*Food_DB!$D$4+G320*Food_DB!$D$5+H320/100*Food_DB!$D$6+I320/100*Food_DB!$D$7+IFERROR(K320/100*VLOOKUP(J320,Food_DB!$A$2:$F$14,4,FALSE),0)+L320*Food_DB!$D$8</f>
        <v>100.49999999999999</v>
      </c>
      <c r="Y320">
        <f>D320*Food_DB!$E$2+E320/100*Food_DB!$E$3+F320/30*Food_DB!$E$4+G320*Food_DB!$E$5+H320/100*Food_DB!$E$6+I320/100*Food_DB!$E$7+IFERROR(K320/100*VLOOKUP(J320,Food_DB!$A$2:$F$14,5,FALSE),0)+L320*Food_DB!$E$8</f>
        <v>32.35</v>
      </c>
      <c r="Z320">
        <f>D320*Food_DB!$F$2+E320/100*Food_DB!$F$3+F320/30*Food_DB!$F$4+G320*Food_DB!$F$5+H320/100*Food_DB!$F$6+I320/100*Food_DB!$F$7+IFERROR(K320/100*VLOOKUP(J320,Food_DB!$A$2:$F$14,6,FALSE),0)+L320*Food_DB!$F$8</f>
        <v>178.15</v>
      </c>
      <c r="AA320">
        <v>6.5</v>
      </c>
      <c r="AB320">
        <v>30</v>
      </c>
      <c r="AC320">
        <v>0</v>
      </c>
      <c r="AD320">
        <v>0</v>
      </c>
      <c r="AE320">
        <f>Dashboard!$B$6*AA320+Dashboard!$B$6*4*AB320/60+Dashboard!$B$6*8*AC320/120+Dashboard!$B$6*7*AD320</f>
        <v>680</v>
      </c>
      <c r="AF320">
        <f>Dashboard!$B$5</f>
        <v>1700</v>
      </c>
      <c r="AG320">
        <f t="shared" si="18"/>
        <v>2720</v>
      </c>
      <c r="AH320">
        <f t="shared" si="19"/>
        <v>-1332.5</v>
      </c>
    </row>
    <row r="321" spans="1:34">
      <c r="A321">
        <v>46497</v>
      </c>
      <c r="B321" t="s">
        <v>91</v>
      </c>
      <c r="C321" t="s">
        <v>89</v>
      </c>
      <c r="D321">
        <v>2</v>
      </c>
      <c r="E321">
        <v>400</v>
      </c>
      <c r="F321">
        <v>30</v>
      </c>
      <c r="G321">
        <v>1</v>
      </c>
      <c r="H321">
        <v>150</v>
      </c>
      <c r="I321">
        <v>250</v>
      </c>
      <c r="J321" t="s">
        <v>90</v>
      </c>
      <c r="K321">
        <v>250</v>
      </c>
      <c r="L321">
        <v>3</v>
      </c>
      <c r="M321">
        <v>0</v>
      </c>
      <c r="N321">
        <f>D321*Food_DB!$C$2</f>
        <v>150</v>
      </c>
      <c r="O321">
        <f>E321/100*Food_DB!$C$3</f>
        <v>260</v>
      </c>
      <c r="P321">
        <f>F321/30*Food_DB!$C$4</f>
        <v>111</v>
      </c>
      <c r="Q321">
        <f>G321*Food_DB!$C$5</f>
        <v>222</v>
      </c>
      <c r="R321">
        <f>H321/100*Food_DB!$C$6</f>
        <v>12</v>
      </c>
      <c r="S321">
        <f>I321/100*Food_DB!$C$7</f>
        <v>62.5</v>
      </c>
      <c r="T321">
        <f>IFERROR(K321/100*VLOOKUP(J321,Food_DB!$A$2:$F$14,3,FALSE),0)</f>
        <v>575</v>
      </c>
      <c r="U321">
        <f>L321*Food_DB!$C$8</f>
        <v>270</v>
      </c>
      <c r="V321">
        <f t="shared" si="16"/>
        <v>0</v>
      </c>
      <c r="W321">
        <f t="shared" si="17"/>
        <v>1662.5</v>
      </c>
      <c r="X321">
        <f>D321*Food_DB!$D$2+E321/100*Food_DB!$D$3+F321/30*Food_DB!$D$4+G321*Food_DB!$D$5+H321/100*Food_DB!$D$6+I321/100*Food_DB!$D$7+IFERROR(K321/100*VLOOKUP(J321,Food_DB!$A$2:$F$14,4,FALSE),0)+L321*Food_DB!$D$8</f>
        <v>87.999999999999986</v>
      </c>
      <c r="Y321">
        <f>D321*Food_DB!$E$2+E321/100*Food_DB!$E$3+F321/30*Food_DB!$E$4+G321*Food_DB!$E$5+H321/100*Food_DB!$E$6+I321/100*Food_DB!$E$7+IFERROR(K321/100*VLOOKUP(J321,Food_DB!$A$2:$F$14,5,FALSE),0)+L321*Food_DB!$E$8</f>
        <v>68.599999999999994</v>
      </c>
      <c r="Z321">
        <f>D321*Food_DB!$F$2+E321/100*Food_DB!$F$3+F321/30*Food_DB!$F$4+G321*Food_DB!$F$5+H321/100*Food_DB!$F$6+I321/100*Food_DB!$F$7+IFERROR(K321/100*VLOOKUP(J321,Food_DB!$A$2:$F$14,6,FALSE),0)+L321*Food_DB!$F$8</f>
        <v>178.15</v>
      </c>
      <c r="AA321">
        <v>6.5</v>
      </c>
      <c r="AB321">
        <v>30</v>
      </c>
      <c r="AC321">
        <v>0</v>
      </c>
      <c r="AD321">
        <v>0</v>
      </c>
      <c r="AE321">
        <f>Dashboard!$B$6*AA321+Dashboard!$B$6*4*AB321/60+Dashboard!$B$6*8*AC321/120+Dashboard!$B$6*7*AD321</f>
        <v>680</v>
      </c>
      <c r="AF321">
        <f>Dashboard!$B$5</f>
        <v>1700</v>
      </c>
      <c r="AG321">
        <f t="shared" si="18"/>
        <v>2720</v>
      </c>
      <c r="AH321">
        <f t="shared" si="19"/>
        <v>-1057.5</v>
      </c>
    </row>
    <row r="322" spans="1:34">
      <c r="A322">
        <v>46498</v>
      </c>
      <c r="B322" t="s">
        <v>92</v>
      </c>
      <c r="C322" t="s">
        <v>89</v>
      </c>
      <c r="D322">
        <v>2</v>
      </c>
      <c r="E322">
        <v>400</v>
      </c>
      <c r="F322">
        <v>30</v>
      </c>
      <c r="G322">
        <v>1</v>
      </c>
      <c r="H322">
        <v>150</v>
      </c>
      <c r="I322">
        <v>250</v>
      </c>
      <c r="J322" t="s">
        <v>82</v>
      </c>
      <c r="K322">
        <v>250</v>
      </c>
      <c r="L322">
        <v>3</v>
      </c>
      <c r="M322">
        <v>0</v>
      </c>
      <c r="N322">
        <f>D322*Food_DB!$C$2</f>
        <v>150</v>
      </c>
      <c r="O322">
        <f>E322/100*Food_DB!$C$3</f>
        <v>260</v>
      </c>
      <c r="P322">
        <f>F322/30*Food_DB!$C$4</f>
        <v>111</v>
      </c>
      <c r="Q322">
        <f>G322*Food_DB!$C$5</f>
        <v>222</v>
      </c>
      <c r="R322">
        <f>H322/100*Food_DB!$C$6</f>
        <v>12</v>
      </c>
      <c r="S322">
        <f>I322/100*Food_DB!$C$7</f>
        <v>62.5</v>
      </c>
      <c r="T322">
        <f>IFERROR(K322/100*VLOOKUP(J322,Food_DB!$A$2:$F$14,3,FALSE),0)</f>
        <v>550</v>
      </c>
      <c r="U322">
        <f>L322*Food_DB!$C$8</f>
        <v>270</v>
      </c>
      <c r="V322">
        <f t="shared" ref="V322:V371" si="20">M322</f>
        <v>0</v>
      </c>
      <c r="W322">
        <f t="shared" ref="W322:W385" si="21">SUM(N322:V322)</f>
        <v>1637.5</v>
      </c>
      <c r="X322">
        <f>D322*Food_DB!$D$2+E322/100*Food_DB!$D$3+F322/30*Food_DB!$D$4+G322*Food_DB!$D$5+H322/100*Food_DB!$D$6+I322/100*Food_DB!$D$7+IFERROR(K322/100*VLOOKUP(J322,Food_DB!$A$2:$F$14,4,FALSE),0)+L322*Food_DB!$D$8</f>
        <v>92.999999999999986</v>
      </c>
      <c r="Y322">
        <f>D322*Food_DB!$E$2+E322/100*Food_DB!$E$3+F322/30*Food_DB!$E$4+G322*Food_DB!$E$5+H322/100*Food_DB!$E$6+I322/100*Food_DB!$E$7+IFERROR(K322/100*VLOOKUP(J322,Food_DB!$A$2:$F$14,5,FALSE),0)+L322*Food_DB!$E$8</f>
        <v>63.6</v>
      </c>
      <c r="Z322">
        <f>D322*Food_DB!$F$2+E322/100*Food_DB!$F$3+F322/30*Food_DB!$F$4+G322*Food_DB!$F$5+H322/100*Food_DB!$F$6+I322/100*Food_DB!$F$7+IFERROR(K322/100*VLOOKUP(J322,Food_DB!$A$2:$F$14,6,FALSE),0)+L322*Food_DB!$F$8</f>
        <v>178.15</v>
      </c>
      <c r="AA322">
        <v>6.5</v>
      </c>
      <c r="AB322">
        <v>30</v>
      </c>
      <c r="AC322">
        <v>0</v>
      </c>
      <c r="AD322">
        <v>0</v>
      </c>
      <c r="AE322">
        <f>Dashboard!$B$6*AA322+Dashboard!$B$6*4*AB322/60+Dashboard!$B$6*8*AC322/120+Dashboard!$B$6*7*AD322</f>
        <v>680</v>
      </c>
      <c r="AF322">
        <f>Dashboard!$B$5</f>
        <v>1700</v>
      </c>
      <c r="AG322">
        <f t="shared" ref="AG322:AG385" si="22">AF322*1.2+AE322</f>
        <v>2720</v>
      </c>
      <c r="AH322">
        <f t="shared" ref="AH322:AH385" si="23">W322-AG322</f>
        <v>-1082.5</v>
      </c>
    </row>
    <row r="323" spans="1:34">
      <c r="A323">
        <v>46499</v>
      </c>
      <c r="B323" t="s">
        <v>93</v>
      </c>
      <c r="C323" t="s">
        <v>89</v>
      </c>
      <c r="D323">
        <v>2</v>
      </c>
      <c r="E323">
        <v>400</v>
      </c>
      <c r="F323">
        <v>30</v>
      </c>
      <c r="G323">
        <v>1</v>
      </c>
      <c r="H323">
        <v>150</v>
      </c>
      <c r="I323">
        <v>250</v>
      </c>
      <c r="J323" t="s">
        <v>85</v>
      </c>
      <c r="K323">
        <v>250</v>
      </c>
      <c r="L323">
        <v>3</v>
      </c>
      <c r="M323">
        <v>0</v>
      </c>
      <c r="N323">
        <f>D323*Food_DB!$C$2</f>
        <v>150</v>
      </c>
      <c r="O323">
        <f>E323/100*Food_DB!$C$3</f>
        <v>260</v>
      </c>
      <c r="P323">
        <f>F323/30*Food_DB!$C$4</f>
        <v>111</v>
      </c>
      <c r="Q323">
        <f>G323*Food_DB!$C$5</f>
        <v>222</v>
      </c>
      <c r="R323">
        <f>H323/100*Food_DB!$C$6</f>
        <v>12</v>
      </c>
      <c r="S323">
        <f>I323/100*Food_DB!$C$7</f>
        <v>62.5</v>
      </c>
      <c r="T323">
        <f>IFERROR(K323/100*VLOOKUP(J323,Food_DB!$A$2:$F$14,3,FALSE),0)</f>
        <v>450</v>
      </c>
      <c r="U323">
        <f>L323*Food_DB!$C$8</f>
        <v>270</v>
      </c>
      <c r="V323">
        <f t="shared" si="20"/>
        <v>0</v>
      </c>
      <c r="W323">
        <f t="shared" si="21"/>
        <v>1537.5</v>
      </c>
      <c r="X323">
        <f>D323*Food_DB!$D$2+E323/100*Food_DB!$D$3+F323/30*Food_DB!$D$4+G323*Food_DB!$D$5+H323/100*Food_DB!$D$6+I323/100*Food_DB!$D$7+IFERROR(K323/100*VLOOKUP(J323,Food_DB!$A$2:$F$14,4,FALSE),0)+L323*Food_DB!$D$8</f>
        <v>92.999999999999986</v>
      </c>
      <c r="Y323">
        <f>D323*Food_DB!$E$2+E323/100*Food_DB!$E$3+F323/30*Food_DB!$E$4+G323*Food_DB!$E$5+H323/100*Food_DB!$E$6+I323/100*Food_DB!$E$7+IFERROR(K323/100*VLOOKUP(J323,Food_DB!$A$2:$F$14,5,FALSE),0)+L323*Food_DB!$E$8</f>
        <v>51.1</v>
      </c>
      <c r="Z323">
        <f>D323*Food_DB!$F$2+E323/100*Food_DB!$F$3+F323/30*Food_DB!$F$4+G323*Food_DB!$F$5+H323/100*Food_DB!$F$6+I323/100*Food_DB!$F$7+IFERROR(K323/100*VLOOKUP(J323,Food_DB!$A$2:$F$14,6,FALSE),0)+L323*Food_DB!$F$8</f>
        <v>178.15</v>
      </c>
      <c r="AA323">
        <v>6.5</v>
      </c>
      <c r="AB323">
        <v>30</v>
      </c>
      <c r="AC323">
        <v>0</v>
      </c>
      <c r="AD323">
        <v>0</v>
      </c>
      <c r="AE323">
        <f>Dashboard!$B$6*AA323+Dashboard!$B$6*4*AB323/60+Dashboard!$B$6*8*AC323/120+Dashboard!$B$6*7*AD323</f>
        <v>680</v>
      </c>
      <c r="AF323">
        <f>Dashboard!$B$5</f>
        <v>1700</v>
      </c>
      <c r="AG323">
        <f t="shared" si="22"/>
        <v>2720</v>
      </c>
      <c r="AH323">
        <f t="shared" si="23"/>
        <v>-1182.5</v>
      </c>
    </row>
    <row r="324" spans="1:34">
      <c r="A324">
        <v>46500</v>
      </c>
      <c r="B324" t="s">
        <v>80</v>
      </c>
      <c r="C324" t="s">
        <v>81</v>
      </c>
      <c r="D324">
        <v>2</v>
      </c>
      <c r="E324">
        <v>400</v>
      </c>
      <c r="F324">
        <v>30</v>
      </c>
      <c r="G324">
        <v>1</v>
      </c>
      <c r="H324">
        <v>150</v>
      </c>
      <c r="I324">
        <v>250</v>
      </c>
      <c r="J324" t="s">
        <v>87</v>
      </c>
      <c r="K324">
        <v>250</v>
      </c>
      <c r="L324">
        <v>3</v>
      </c>
      <c r="M324">
        <v>1000</v>
      </c>
      <c r="N324">
        <f>D324*Food_DB!$C$2</f>
        <v>150</v>
      </c>
      <c r="O324">
        <f>E324/100*Food_DB!$C$3</f>
        <v>260</v>
      </c>
      <c r="P324">
        <f>F324/30*Food_DB!$C$4</f>
        <v>111</v>
      </c>
      <c r="Q324">
        <f>G324*Food_DB!$C$5</f>
        <v>222</v>
      </c>
      <c r="R324">
        <f>H324/100*Food_DB!$C$6</f>
        <v>12</v>
      </c>
      <c r="S324">
        <f>I324/100*Food_DB!$C$7</f>
        <v>62.5</v>
      </c>
      <c r="T324">
        <f>IFERROR(K324/100*VLOOKUP(J324,Food_DB!$A$2:$F$14,3,FALSE),0)</f>
        <v>300</v>
      </c>
      <c r="U324">
        <f>L324*Food_DB!$C$8</f>
        <v>270</v>
      </c>
      <c r="V324">
        <f t="shared" si="20"/>
        <v>1000</v>
      </c>
      <c r="W324">
        <f t="shared" si="21"/>
        <v>2387.5</v>
      </c>
      <c r="X324">
        <f>D324*Food_DB!$D$2+E324/100*Food_DB!$D$3+F324/30*Food_DB!$D$4+G324*Food_DB!$D$5+H324/100*Food_DB!$D$6+I324/100*Food_DB!$D$7+IFERROR(K324/100*VLOOKUP(J324,Food_DB!$A$2:$F$14,4,FALSE),0)+L324*Food_DB!$D$8</f>
        <v>100.49999999999999</v>
      </c>
      <c r="Y324">
        <f>D324*Food_DB!$E$2+E324/100*Food_DB!$E$3+F324/30*Food_DB!$E$4+G324*Food_DB!$E$5+H324/100*Food_DB!$E$6+I324/100*Food_DB!$E$7+IFERROR(K324/100*VLOOKUP(J324,Food_DB!$A$2:$F$14,5,FALSE),0)+L324*Food_DB!$E$8</f>
        <v>32.35</v>
      </c>
      <c r="Z324">
        <f>D324*Food_DB!$F$2+E324/100*Food_DB!$F$3+F324/30*Food_DB!$F$4+G324*Food_DB!$F$5+H324/100*Food_DB!$F$6+I324/100*Food_DB!$F$7+IFERROR(K324/100*VLOOKUP(J324,Food_DB!$A$2:$F$14,6,FALSE),0)+L324*Food_DB!$F$8</f>
        <v>178.15</v>
      </c>
      <c r="AA324">
        <v>6.5</v>
      </c>
      <c r="AB324">
        <v>30</v>
      </c>
      <c r="AC324">
        <v>0</v>
      </c>
      <c r="AD324">
        <v>0</v>
      </c>
      <c r="AE324">
        <f>Dashboard!$B$6*AA324+Dashboard!$B$6*4*AB324/60+Dashboard!$B$6*8*AC324/120+Dashboard!$B$6*7*AD324</f>
        <v>680</v>
      </c>
      <c r="AF324">
        <f>Dashboard!$B$5</f>
        <v>1700</v>
      </c>
      <c r="AG324">
        <f t="shared" si="22"/>
        <v>2720</v>
      </c>
      <c r="AH324">
        <f t="shared" si="23"/>
        <v>-332.5</v>
      </c>
    </row>
    <row r="325" spans="1:34">
      <c r="A325">
        <v>46501</v>
      </c>
      <c r="B325" t="s">
        <v>83</v>
      </c>
      <c r="C325" t="s">
        <v>84</v>
      </c>
      <c r="D325">
        <v>2</v>
      </c>
      <c r="E325">
        <v>400</v>
      </c>
      <c r="F325">
        <v>30</v>
      </c>
      <c r="G325">
        <v>1</v>
      </c>
      <c r="H325">
        <v>150</v>
      </c>
      <c r="I325">
        <v>250</v>
      </c>
      <c r="J325" t="s">
        <v>90</v>
      </c>
      <c r="K325">
        <v>250</v>
      </c>
      <c r="L325">
        <v>3</v>
      </c>
      <c r="M325">
        <v>0</v>
      </c>
      <c r="N325">
        <f>D325*Food_DB!$C$2</f>
        <v>150</v>
      </c>
      <c r="O325">
        <f>E325/100*Food_DB!$C$3</f>
        <v>260</v>
      </c>
      <c r="P325">
        <f>F325/30*Food_DB!$C$4</f>
        <v>111</v>
      </c>
      <c r="Q325">
        <f>G325*Food_DB!$C$5</f>
        <v>222</v>
      </c>
      <c r="R325">
        <f>H325/100*Food_DB!$C$6</f>
        <v>12</v>
      </c>
      <c r="S325">
        <f>I325/100*Food_DB!$C$7</f>
        <v>62.5</v>
      </c>
      <c r="T325">
        <f>IFERROR(K325/100*VLOOKUP(J325,Food_DB!$A$2:$F$14,3,FALSE),0)</f>
        <v>575</v>
      </c>
      <c r="U325">
        <f>L325*Food_DB!$C$8</f>
        <v>270</v>
      </c>
      <c r="V325">
        <f t="shared" si="20"/>
        <v>0</v>
      </c>
      <c r="W325">
        <f t="shared" si="21"/>
        <v>1662.5</v>
      </c>
      <c r="X325">
        <f>D325*Food_DB!$D$2+E325/100*Food_DB!$D$3+F325/30*Food_DB!$D$4+G325*Food_DB!$D$5+H325/100*Food_DB!$D$6+I325/100*Food_DB!$D$7+IFERROR(K325/100*VLOOKUP(J325,Food_DB!$A$2:$F$14,4,FALSE),0)+L325*Food_DB!$D$8</f>
        <v>87.999999999999986</v>
      </c>
      <c r="Y325">
        <f>D325*Food_DB!$E$2+E325/100*Food_DB!$E$3+F325/30*Food_DB!$E$4+G325*Food_DB!$E$5+H325/100*Food_DB!$E$6+I325/100*Food_DB!$E$7+IFERROR(K325/100*VLOOKUP(J325,Food_DB!$A$2:$F$14,5,FALSE),0)+L325*Food_DB!$E$8</f>
        <v>68.599999999999994</v>
      </c>
      <c r="Z325">
        <f>D325*Food_DB!$F$2+E325/100*Food_DB!$F$3+F325/30*Food_DB!$F$4+G325*Food_DB!$F$5+H325/100*Food_DB!$F$6+I325/100*Food_DB!$F$7+IFERROR(K325/100*VLOOKUP(J325,Food_DB!$A$2:$F$14,6,FALSE),0)+L325*Food_DB!$F$8</f>
        <v>178.15</v>
      </c>
      <c r="AA325">
        <v>0</v>
      </c>
      <c r="AB325">
        <v>0</v>
      </c>
      <c r="AC325">
        <v>0</v>
      </c>
      <c r="AD325">
        <v>3.5</v>
      </c>
      <c r="AE325">
        <f>Dashboard!$B$6*AA325+Dashboard!$B$6*4*AB325/60+Dashboard!$B$6*8*AC325/120+Dashboard!$B$6*7*AD325</f>
        <v>1960</v>
      </c>
      <c r="AF325">
        <f>Dashboard!$B$5</f>
        <v>1700</v>
      </c>
      <c r="AG325">
        <f t="shared" si="22"/>
        <v>4000</v>
      </c>
      <c r="AH325">
        <f t="shared" si="23"/>
        <v>-2337.5</v>
      </c>
    </row>
    <row r="326" spans="1:34">
      <c r="A326">
        <v>46502</v>
      </c>
      <c r="B326" t="s">
        <v>86</v>
      </c>
      <c r="C326" t="s">
        <v>84</v>
      </c>
      <c r="D326">
        <v>2</v>
      </c>
      <c r="E326">
        <v>400</v>
      </c>
      <c r="F326">
        <v>30</v>
      </c>
      <c r="G326">
        <v>1</v>
      </c>
      <c r="H326">
        <v>150</v>
      </c>
      <c r="I326">
        <v>250</v>
      </c>
      <c r="J326" t="s">
        <v>82</v>
      </c>
      <c r="K326">
        <v>250</v>
      </c>
      <c r="L326">
        <v>3</v>
      </c>
      <c r="M326">
        <v>0</v>
      </c>
      <c r="N326">
        <f>D326*Food_DB!$C$2</f>
        <v>150</v>
      </c>
      <c r="O326">
        <f>E326/100*Food_DB!$C$3</f>
        <v>260</v>
      </c>
      <c r="P326">
        <f>F326/30*Food_DB!$C$4</f>
        <v>111</v>
      </c>
      <c r="Q326">
        <f>G326*Food_DB!$C$5</f>
        <v>222</v>
      </c>
      <c r="R326">
        <f>H326/100*Food_DB!$C$6</f>
        <v>12</v>
      </c>
      <c r="S326">
        <f>I326/100*Food_DB!$C$7</f>
        <v>62.5</v>
      </c>
      <c r="T326">
        <f>IFERROR(K326/100*VLOOKUP(J326,Food_DB!$A$2:$F$14,3,FALSE),0)</f>
        <v>550</v>
      </c>
      <c r="U326">
        <f>L326*Food_DB!$C$8</f>
        <v>270</v>
      </c>
      <c r="V326">
        <f t="shared" si="20"/>
        <v>0</v>
      </c>
      <c r="W326">
        <f t="shared" si="21"/>
        <v>1637.5</v>
      </c>
      <c r="X326">
        <f>D326*Food_DB!$D$2+E326/100*Food_DB!$D$3+F326/30*Food_DB!$D$4+G326*Food_DB!$D$5+H326/100*Food_DB!$D$6+I326/100*Food_DB!$D$7+IFERROR(K326/100*VLOOKUP(J326,Food_DB!$A$2:$F$14,4,FALSE),0)+L326*Food_DB!$D$8</f>
        <v>92.999999999999986</v>
      </c>
      <c r="Y326">
        <f>D326*Food_DB!$E$2+E326/100*Food_DB!$E$3+F326/30*Food_DB!$E$4+G326*Food_DB!$E$5+H326/100*Food_DB!$E$6+I326/100*Food_DB!$E$7+IFERROR(K326/100*VLOOKUP(J326,Food_DB!$A$2:$F$14,5,FALSE),0)+L326*Food_DB!$E$8</f>
        <v>63.6</v>
      </c>
      <c r="Z326">
        <f>D326*Food_DB!$F$2+E326/100*Food_DB!$F$3+F326/30*Food_DB!$F$4+G326*Food_DB!$F$5+H326/100*Food_DB!$F$6+I326/100*Food_DB!$F$7+IFERROR(K326/100*VLOOKUP(J326,Food_DB!$A$2:$F$14,6,FALSE),0)+L326*Food_DB!$F$8</f>
        <v>178.15</v>
      </c>
      <c r="AA326">
        <v>0</v>
      </c>
      <c r="AB326">
        <v>0</v>
      </c>
      <c r="AC326">
        <v>0</v>
      </c>
      <c r="AD326">
        <v>3.5</v>
      </c>
      <c r="AE326">
        <f>Dashboard!$B$6*AA326+Dashboard!$B$6*4*AB326/60+Dashboard!$B$6*8*AC326/120+Dashboard!$B$6*7*AD326</f>
        <v>1960</v>
      </c>
      <c r="AF326">
        <f>Dashboard!$B$5</f>
        <v>1700</v>
      </c>
      <c r="AG326">
        <f t="shared" si="22"/>
        <v>4000</v>
      </c>
      <c r="AH326">
        <f t="shared" si="23"/>
        <v>-2362.5</v>
      </c>
    </row>
    <row r="327" spans="1:34">
      <c r="A327">
        <v>46503</v>
      </c>
      <c r="B327" t="s">
        <v>88</v>
      </c>
      <c r="C327" t="s">
        <v>89</v>
      </c>
      <c r="D327">
        <v>2</v>
      </c>
      <c r="E327">
        <v>400</v>
      </c>
      <c r="F327">
        <v>30</v>
      </c>
      <c r="G327">
        <v>1</v>
      </c>
      <c r="H327">
        <v>150</v>
      </c>
      <c r="I327">
        <v>250</v>
      </c>
      <c r="J327" t="s">
        <v>85</v>
      </c>
      <c r="K327">
        <v>250</v>
      </c>
      <c r="L327">
        <v>3</v>
      </c>
      <c r="M327">
        <v>0</v>
      </c>
      <c r="N327">
        <f>D327*Food_DB!$C$2</f>
        <v>150</v>
      </c>
      <c r="O327">
        <f>E327/100*Food_DB!$C$3</f>
        <v>260</v>
      </c>
      <c r="P327">
        <f>F327/30*Food_DB!$C$4</f>
        <v>111</v>
      </c>
      <c r="Q327">
        <f>G327*Food_DB!$C$5</f>
        <v>222</v>
      </c>
      <c r="R327">
        <f>H327/100*Food_DB!$C$6</f>
        <v>12</v>
      </c>
      <c r="S327">
        <f>I327/100*Food_DB!$C$7</f>
        <v>62.5</v>
      </c>
      <c r="T327">
        <f>IFERROR(K327/100*VLOOKUP(J327,Food_DB!$A$2:$F$14,3,FALSE),0)</f>
        <v>450</v>
      </c>
      <c r="U327">
        <f>L327*Food_DB!$C$8</f>
        <v>270</v>
      </c>
      <c r="V327">
        <f t="shared" si="20"/>
        <v>0</v>
      </c>
      <c r="W327">
        <f t="shared" si="21"/>
        <v>1537.5</v>
      </c>
      <c r="X327">
        <f>D327*Food_DB!$D$2+E327/100*Food_DB!$D$3+F327/30*Food_DB!$D$4+G327*Food_DB!$D$5+H327/100*Food_DB!$D$6+I327/100*Food_DB!$D$7+IFERROR(K327/100*VLOOKUP(J327,Food_DB!$A$2:$F$14,4,FALSE),0)+L327*Food_DB!$D$8</f>
        <v>92.999999999999986</v>
      </c>
      <c r="Y327">
        <f>D327*Food_DB!$E$2+E327/100*Food_DB!$E$3+F327/30*Food_DB!$E$4+G327*Food_DB!$E$5+H327/100*Food_DB!$E$6+I327/100*Food_DB!$E$7+IFERROR(K327/100*VLOOKUP(J327,Food_DB!$A$2:$F$14,5,FALSE),0)+L327*Food_DB!$E$8</f>
        <v>51.1</v>
      </c>
      <c r="Z327">
        <f>D327*Food_DB!$F$2+E327/100*Food_DB!$F$3+F327/30*Food_DB!$F$4+G327*Food_DB!$F$5+H327/100*Food_DB!$F$6+I327/100*Food_DB!$F$7+IFERROR(K327/100*VLOOKUP(J327,Food_DB!$A$2:$F$14,6,FALSE),0)+L327*Food_DB!$F$8</f>
        <v>178.15</v>
      </c>
      <c r="AA327">
        <v>6.5</v>
      </c>
      <c r="AB327">
        <v>30</v>
      </c>
      <c r="AC327">
        <v>0</v>
      </c>
      <c r="AD327">
        <v>0</v>
      </c>
      <c r="AE327">
        <f>Dashboard!$B$6*AA327+Dashboard!$B$6*4*AB327/60+Dashboard!$B$6*8*AC327/120+Dashboard!$B$6*7*AD327</f>
        <v>680</v>
      </c>
      <c r="AF327">
        <f>Dashboard!$B$5</f>
        <v>1700</v>
      </c>
      <c r="AG327">
        <f t="shared" si="22"/>
        <v>2720</v>
      </c>
      <c r="AH327">
        <f t="shared" si="23"/>
        <v>-1182.5</v>
      </c>
    </row>
    <row r="328" spans="1:34">
      <c r="A328">
        <v>46504</v>
      </c>
      <c r="B328" t="s">
        <v>91</v>
      </c>
      <c r="C328" t="s">
        <v>89</v>
      </c>
      <c r="D328">
        <v>2</v>
      </c>
      <c r="E328">
        <v>400</v>
      </c>
      <c r="F328">
        <v>30</v>
      </c>
      <c r="G328">
        <v>1</v>
      </c>
      <c r="H328">
        <v>150</v>
      </c>
      <c r="I328">
        <v>250</v>
      </c>
      <c r="J328" t="s">
        <v>87</v>
      </c>
      <c r="K328">
        <v>250</v>
      </c>
      <c r="L328">
        <v>3</v>
      </c>
      <c r="M328">
        <v>0</v>
      </c>
      <c r="N328">
        <f>D328*Food_DB!$C$2</f>
        <v>150</v>
      </c>
      <c r="O328">
        <f>E328/100*Food_DB!$C$3</f>
        <v>260</v>
      </c>
      <c r="P328">
        <f>F328/30*Food_DB!$C$4</f>
        <v>111</v>
      </c>
      <c r="Q328">
        <f>G328*Food_DB!$C$5</f>
        <v>222</v>
      </c>
      <c r="R328">
        <f>H328/100*Food_DB!$C$6</f>
        <v>12</v>
      </c>
      <c r="S328">
        <f>I328/100*Food_DB!$C$7</f>
        <v>62.5</v>
      </c>
      <c r="T328">
        <f>IFERROR(K328/100*VLOOKUP(J328,Food_DB!$A$2:$F$14,3,FALSE),0)</f>
        <v>300</v>
      </c>
      <c r="U328">
        <f>L328*Food_DB!$C$8</f>
        <v>270</v>
      </c>
      <c r="V328">
        <f t="shared" si="20"/>
        <v>0</v>
      </c>
      <c r="W328">
        <f t="shared" si="21"/>
        <v>1387.5</v>
      </c>
      <c r="X328">
        <f>D328*Food_DB!$D$2+E328/100*Food_DB!$D$3+F328/30*Food_DB!$D$4+G328*Food_DB!$D$5+H328/100*Food_DB!$D$6+I328/100*Food_DB!$D$7+IFERROR(K328/100*VLOOKUP(J328,Food_DB!$A$2:$F$14,4,FALSE),0)+L328*Food_DB!$D$8</f>
        <v>100.49999999999999</v>
      </c>
      <c r="Y328">
        <f>D328*Food_DB!$E$2+E328/100*Food_DB!$E$3+F328/30*Food_DB!$E$4+G328*Food_DB!$E$5+H328/100*Food_DB!$E$6+I328/100*Food_DB!$E$7+IFERROR(K328/100*VLOOKUP(J328,Food_DB!$A$2:$F$14,5,FALSE),0)+L328*Food_DB!$E$8</f>
        <v>32.35</v>
      </c>
      <c r="Z328">
        <f>D328*Food_DB!$F$2+E328/100*Food_DB!$F$3+F328/30*Food_DB!$F$4+G328*Food_DB!$F$5+H328/100*Food_DB!$F$6+I328/100*Food_DB!$F$7+IFERROR(K328/100*VLOOKUP(J328,Food_DB!$A$2:$F$14,6,FALSE),0)+L328*Food_DB!$F$8</f>
        <v>178.15</v>
      </c>
      <c r="AA328">
        <v>6.5</v>
      </c>
      <c r="AB328">
        <v>30</v>
      </c>
      <c r="AC328">
        <v>0</v>
      </c>
      <c r="AD328">
        <v>0</v>
      </c>
      <c r="AE328">
        <f>Dashboard!$B$6*AA328+Dashboard!$B$6*4*AB328/60+Dashboard!$B$6*8*AC328/120+Dashboard!$B$6*7*AD328</f>
        <v>680</v>
      </c>
      <c r="AF328">
        <f>Dashboard!$B$5</f>
        <v>1700</v>
      </c>
      <c r="AG328">
        <f t="shared" si="22"/>
        <v>2720</v>
      </c>
      <c r="AH328">
        <f t="shared" si="23"/>
        <v>-1332.5</v>
      </c>
    </row>
    <row r="329" spans="1:34">
      <c r="A329">
        <v>46505</v>
      </c>
      <c r="B329" t="s">
        <v>92</v>
      </c>
      <c r="C329" t="s">
        <v>89</v>
      </c>
      <c r="D329">
        <v>2</v>
      </c>
      <c r="E329">
        <v>400</v>
      </c>
      <c r="F329">
        <v>30</v>
      </c>
      <c r="G329">
        <v>1</v>
      </c>
      <c r="H329">
        <v>150</v>
      </c>
      <c r="I329">
        <v>250</v>
      </c>
      <c r="J329" t="s">
        <v>90</v>
      </c>
      <c r="K329">
        <v>250</v>
      </c>
      <c r="L329">
        <v>3</v>
      </c>
      <c r="M329">
        <v>0</v>
      </c>
      <c r="N329">
        <f>D329*Food_DB!$C$2</f>
        <v>150</v>
      </c>
      <c r="O329">
        <f>E329/100*Food_DB!$C$3</f>
        <v>260</v>
      </c>
      <c r="P329">
        <f>F329/30*Food_DB!$C$4</f>
        <v>111</v>
      </c>
      <c r="Q329">
        <f>G329*Food_DB!$C$5</f>
        <v>222</v>
      </c>
      <c r="R329">
        <f>H329/100*Food_DB!$C$6</f>
        <v>12</v>
      </c>
      <c r="S329">
        <f>I329/100*Food_DB!$C$7</f>
        <v>62.5</v>
      </c>
      <c r="T329">
        <f>IFERROR(K329/100*VLOOKUP(J329,Food_DB!$A$2:$F$14,3,FALSE),0)</f>
        <v>575</v>
      </c>
      <c r="U329">
        <f>L329*Food_DB!$C$8</f>
        <v>270</v>
      </c>
      <c r="V329">
        <f t="shared" si="20"/>
        <v>0</v>
      </c>
      <c r="W329">
        <f t="shared" si="21"/>
        <v>1662.5</v>
      </c>
      <c r="X329">
        <f>D329*Food_DB!$D$2+E329/100*Food_DB!$D$3+F329/30*Food_DB!$D$4+G329*Food_DB!$D$5+H329/100*Food_DB!$D$6+I329/100*Food_DB!$D$7+IFERROR(K329/100*VLOOKUP(J329,Food_DB!$A$2:$F$14,4,FALSE),0)+L329*Food_DB!$D$8</f>
        <v>87.999999999999986</v>
      </c>
      <c r="Y329">
        <f>D329*Food_DB!$E$2+E329/100*Food_DB!$E$3+F329/30*Food_DB!$E$4+G329*Food_DB!$E$5+H329/100*Food_DB!$E$6+I329/100*Food_DB!$E$7+IFERROR(K329/100*VLOOKUP(J329,Food_DB!$A$2:$F$14,5,FALSE),0)+L329*Food_DB!$E$8</f>
        <v>68.599999999999994</v>
      </c>
      <c r="Z329">
        <f>D329*Food_DB!$F$2+E329/100*Food_DB!$F$3+F329/30*Food_DB!$F$4+G329*Food_DB!$F$5+H329/100*Food_DB!$F$6+I329/100*Food_DB!$F$7+IFERROR(K329/100*VLOOKUP(J329,Food_DB!$A$2:$F$14,6,FALSE),0)+L329*Food_DB!$F$8</f>
        <v>178.15</v>
      </c>
      <c r="AA329">
        <v>6.5</v>
      </c>
      <c r="AB329">
        <v>30</v>
      </c>
      <c r="AC329">
        <v>0</v>
      </c>
      <c r="AD329">
        <v>0</v>
      </c>
      <c r="AE329">
        <f>Dashboard!$B$6*AA329+Dashboard!$B$6*4*AB329/60+Dashboard!$B$6*8*AC329/120+Dashboard!$B$6*7*AD329</f>
        <v>680</v>
      </c>
      <c r="AF329">
        <f>Dashboard!$B$5</f>
        <v>1700</v>
      </c>
      <c r="AG329">
        <f t="shared" si="22"/>
        <v>2720</v>
      </c>
      <c r="AH329">
        <f t="shared" si="23"/>
        <v>-1057.5</v>
      </c>
    </row>
    <row r="330" spans="1:34">
      <c r="A330">
        <v>46506</v>
      </c>
      <c r="B330" t="s">
        <v>93</v>
      </c>
      <c r="C330" t="s">
        <v>89</v>
      </c>
      <c r="D330">
        <v>2</v>
      </c>
      <c r="E330">
        <v>400</v>
      </c>
      <c r="F330">
        <v>30</v>
      </c>
      <c r="G330">
        <v>1</v>
      </c>
      <c r="H330">
        <v>150</v>
      </c>
      <c r="I330">
        <v>250</v>
      </c>
      <c r="J330" t="s">
        <v>82</v>
      </c>
      <c r="K330">
        <v>250</v>
      </c>
      <c r="L330">
        <v>3</v>
      </c>
      <c r="M330">
        <v>0</v>
      </c>
      <c r="N330">
        <f>D330*Food_DB!$C$2</f>
        <v>150</v>
      </c>
      <c r="O330">
        <f>E330/100*Food_DB!$C$3</f>
        <v>260</v>
      </c>
      <c r="P330">
        <f>F330/30*Food_DB!$C$4</f>
        <v>111</v>
      </c>
      <c r="Q330">
        <f>G330*Food_DB!$C$5</f>
        <v>222</v>
      </c>
      <c r="R330">
        <f>H330/100*Food_DB!$C$6</f>
        <v>12</v>
      </c>
      <c r="S330">
        <f>I330/100*Food_DB!$C$7</f>
        <v>62.5</v>
      </c>
      <c r="T330">
        <f>IFERROR(K330/100*VLOOKUP(J330,Food_DB!$A$2:$F$14,3,FALSE),0)</f>
        <v>550</v>
      </c>
      <c r="U330">
        <f>L330*Food_DB!$C$8</f>
        <v>270</v>
      </c>
      <c r="V330">
        <f t="shared" si="20"/>
        <v>0</v>
      </c>
      <c r="W330">
        <f t="shared" si="21"/>
        <v>1637.5</v>
      </c>
      <c r="X330">
        <f>D330*Food_DB!$D$2+E330/100*Food_DB!$D$3+F330/30*Food_DB!$D$4+G330*Food_DB!$D$5+H330/100*Food_DB!$D$6+I330/100*Food_DB!$D$7+IFERROR(K330/100*VLOOKUP(J330,Food_DB!$A$2:$F$14,4,FALSE),0)+L330*Food_DB!$D$8</f>
        <v>92.999999999999986</v>
      </c>
      <c r="Y330">
        <f>D330*Food_DB!$E$2+E330/100*Food_DB!$E$3+F330/30*Food_DB!$E$4+G330*Food_DB!$E$5+H330/100*Food_DB!$E$6+I330/100*Food_DB!$E$7+IFERROR(K330/100*VLOOKUP(J330,Food_DB!$A$2:$F$14,5,FALSE),0)+L330*Food_DB!$E$8</f>
        <v>63.6</v>
      </c>
      <c r="Z330">
        <f>D330*Food_DB!$F$2+E330/100*Food_DB!$F$3+F330/30*Food_DB!$F$4+G330*Food_DB!$F$5+H330/100*Food_DB!$F$6+I330/100*Food_DB!$F$7+IFERROR(K330/100*VLOOKUP(J330,Food_DB!$A$2:$F$14,6,FALSE),0)+L330*Food_DB!$F$8</f>
        <v>178.15</v>
      </c>
      <c r="AA330">
        <v>6.5</v>
      </c>
      <c r="AB330">
        <v>30</v>
      </c>
      <c r="AC330">
        <v>0</v>
      </c>
      <c r="AD330">
        <v>0</v>
      </c>
      <c r="AE330">
        <f>Dashboard!$B$6*AA330+Dashboard!$B$6*4*AB330/60+Dashboard!$B$6*8*AC330/120+Dashboard!$B$6*7*AD330</f>
        <v>680</v>
      </c>
      <c r="AF330">
        <f>Dashboard!$B$5</f>
        <v>1700</v>
      </c>
      <c r="AG330">
        <f t="shared" si="22"/>
        <v>2720</v>
      </c>
      <c r="AH330">
        <f t="shared" si="23"/>
        <v>-1082.5</v>
      </c>
    </row>
    <row r="331" spans="1:34">
      <c r="A331">
        <v>46507</v>
      </c>
      <c r="B331" t="s">
        <v>80</v>
      </c>
      <c r="C331" t="s">
        <v>81</v>
      </c>
      <c r="D331">
        <v>2</v>
      </c>
      <c r="E331">
        <v>400</v>
      </c>
      <c r="F331">
        <v>30</v>
      </c>
      <c r="G331">
        <v>1</v>
      </c>
      <c r="H331">
        <v>150</v>
      </c>
      <c r="I331">
        <v>250</v>
      </c>
      <c r="J331" t="s">
        <v>85</v>
      </c>
      <c r="K331">
        <v>250</v>
      </c>
      <c r="L331">
        <v>3</v>
      </c>
      <c r="M331">
        <v>1000</v>
      </c>
      <c r="N331">
        <f>D331*Food_DB!$C$2</f>
        <v>150</v>
      </c>
      <c r="O331">
        <f>E331/100*Food_DB!$C$3</f>
        <v>260</v>
      </c>
      <c r="P331">
        <f>F331/30*Food_DB!$C$4</f>
        <v>111</v>
      </c>
      <c r="Q331">
        <f>G331*Food_DB!$C$5</f>
        <v>222</v>
      </c>
      <c r="R331">
        <f>H331/100*Food_DB!$C$6</f>
        <v>12</v>
      </c>
      <c r="S331">
        <f>I331/100*Food_DB!$C$7</f>
        <v>62.5</v>
      </c>
      <c r="T331">
        <f>IFERROR(K331/100*VLOOKUP(J331,Food_DB!$A$2:$F$14,3,FALSE),0)</f>
        <v>450</v>
      </c>
      <c r="U331">
        <f>L331*Food_DB!$C$8</f>
        <v>270</v>
      </c>
      <c r="V331">
        <f t="shared" si="20"/>
        <v>1000</v>
      </c>
      <c r="W331">
        <f t="shared" si="21"/>
        <v>2537.5</v>
      </c>
      <c r="X331">
        <f>D331*Food_DB!$D$2+E331/100*Food_DB!$D$3+F331/30*Food_DB!$D$4+G331*Food_DB!$D$5+H331/100*Food_DB!$D$6+I331/100*Food_DB!$D$7+IFERROR(K331/100*VLOOKUP(J331,Food_DB!$A$2:$F$14,4,FALSE),0)+L331*Food_DB!$D$8</f>
        <v>92.999999999999986</v>
      </c>
      <c r="Y331">
        <f>D331*Food_DB!$E$2+E331/100*Food_DB!$E$3+F331/30*Food_DB!$E$4+G331*Food_DB!$E$5+H331/100*Food_DB!$E$6+I331/100*Food_DB!$E$7+IFERROR(K331/100*VLOOKUP(J331,Food_DB!$A$2:$F$14,5,FALSE),0)+L331*Food_DB!$E$8</f>
        <v>51.1</v>
      </c>
      <c r="Z331">
        <f>D331*Food_DB!$F$2+E331/100*Food_DB!$F$3+F331/30*Food_DB!$F$4+G331*Food_DB!$F$5+H331/100*Food_DB!$F$6+I331/100*Food_DB!$F$7+IFERROR(K331/100*VLOOKUP(J331,Food_DB!$A$2:$F$14,6,FALSE),0)+L331*Food_DB!$F$8</f>
        <v>178.15</v>
      </c>
      <c r="AA331">
        <v>6.5</v>
      </c>
      <c r="AB331">
        <v>30</v>
      </c>
      <c r="AC331">
        <v>0</v>
      </c>
      <c r="AD331">
        <v>0</v>
      </c>
      <c r="AE331">
        <f>Dashboard!$B$6*AA331+Dashboard!$B$6*4*AB331/60+Dashboard!$B$6*8*AC331/120+Dashboard!$B$6*7*AD331</f>
        <v>680</v>
      </c>
      <c r="AF331">
        <f>Dashboard!$B$5</f>
        <v>1700</v>
      </c>
      <c r="AG331">
        <f t="shared" si="22"/>
        <v>2720</v>
      </c>
      <c r="AH331">
        <f t="shared" si="23"/>
        <v>-182.5</v>
      </c>
    </row>
    <row r="332" spans="1:34">
      <c r="A332">
        <v>46508</v>
      </c>
      <c r="B332" t="s">
        <v>83</v>
      </c>
      <c r="C332" t="s">
        <v>84</v>
      </c>
      <c r="D332">
        <v>2</v>
      </c>
      <c r="E332">
        <v>400</v>
      </c>
      <c r="F332">
        <v>30</v>
      </c>
      <c r="G332">
        <v>1</v>
      </c>
      <c r="H332">
        <v>150</v>
      </c>
      <c r="I332">
        <v>250</v>
      </c>
      <c r="J332" t="s">
        <v>87</v>
      </c>
      <c r="K332">
        <v>250</v>
      </c>
      <c r="L332">
        <v>3</v>
      </c>
      <c r="M332">
        <v>0</v>
      </c>
      <c r="N332">
        <f>D332*Food_DB!$C$2</f>
        <v>150</v>
      </c>
      <c r="O332">
        <f>E332/100*Food_DB!$C$3</f>
        <v>260</v>
      </c>
      <c r="P332">
        <f>F332/30*Food_DB!$C$4</f>
        <v>111</v>
      </c>
      <c r="Q332">
        <f>G332*Food_DB!$C$5</f>
        <v>222</v>
      </c>
      <c r="R332">
        <f>H332/100*Food_DB!$C$6</f>
        <v>12</v>
      </c>
      <c r="S332">
        <f>I332/100*Food_DB!$C$7</f>
        <v>62.5</v>
      </c>
      <c r="T332">
        <f>IFERROR(K332/100*VLOOKUP(J332,Food_DB!$A$2:$F$14,3,FALSE),0)</f>
        <v>300</v>
      </c>
      <c r="U332">
        <f>L332*Food_DB!$C$8</f>
        <v>270</v>
      </c>
      <c r="V332">
        <f t="shared" si="20"/>
        <v>0</v>
      </c>
      <c r="W332">
        <f t="shared" si="21"/>
        <v>1387.5</v>
      </c>
      <c r="X332">
        <f>D332*Food_DB!$D$2+E332/100*Food_DB!$D$3+F332/30*Food_DB!$D$4+G332*Food_DB!$D$5+H332/100*Food_DB!$D$6+I332/100*Food_DB!$D$7+IFERROR(K332/100*VLOOKUP(J332,Food_DB!$A$2:$F$14,4,FALSE),0)+L332*Food_DB!$D$8</f>
        <v>100.49999999999999</v>
      </c>
      <c r="Y332">
        <f>D332*Food_DB!$E$2+E332/100*Food_DB!$E$3+F332/30*Food_DB!$E$4+G332*Food_DB!$E$5+H332/100*Food_DB!$E$6+I332/100*Food_DB!$E$7+IFERROR(K332/100*VLOOKUP(J332,Food_DB!$A$2:$F$14,5,FALSE),0)+L332*Food_DB!$E$8</f>
        <v>32.35</v>
      </c>
      <c r="Z332">
        <f>D332*Food_DB!$F$2+E332/100*Food_DB!$F$3+F332/30*Food_DB!$F$4+G332*Food_DB!$F$5+H332/100*Food_DB!$F$6+I332/100*Food_DB!$F$7+IFERROR(K332/100*VLOOKUP(J332,Food_DB!$A$2:$F$14,6,FALSE),0)+L332*Food_DB!$F$8</f>
        <v>178.15</v>
      </c>
      <c r="AA332">
        <v>0</v>
      </c>
      <c r="AB332">
        <v>0</v>
      </c>
      <c r="AC332">
        <v>0</v>
      </c>
      <c r="AD332">
        <v>3.5</v>
      </c>
      <c r="AE332">
        <f>Dashboard!$B$6*AA332+Dashboard!$B$6*4*AB332/60+Dashboard!$B$6*8*AC332/120+Dashboard!$B$6*7*AD332</f>
        <v>1960</v>
      </c>
      <c r="AF332">
        <f>Dashboard!$B$5</f>
        <v>1700</v>
      </c>
      <c r="AG332">
        <f t="shared" si="22"/>
        <v>4000</v>
      </c>
      <c r="AH332">
        <f t="shared" si="23"/>
        <v>-2612.5</v>
      </c>
    </row>
    <row r="333" spans="1:34">
      <c r="A333">
        <v>46509</v>
      </c>
      <c r="B333" t="s">
        <v>86</v>
      </c>
      <c r="C333" t="s">
        <v>84</v>
      </c>
      <c r="D333">
        <v>2</v>
      </c>
      <c r="E333">
        <v>400</v>
      </c>
      <c r="F333">
        <v>30</v>
      </c>
      <c r="G333">
        <v>1</v>
      </c>
      <c r="H333">
        <v>150</v>
      </c>
      <c r="I333">
        <v>250</v>
      </c>
      <c r="J333" t="s">
        <v>90</v>
      </c>
      <c r="K333">
        <v>250</v>
      </c>
      <c r="L333">
        <v>3</v>
      </c>
      <c r="M333">
        <v>0</v>
      </c>
      <c r="N333">
        <f>D333*Food_DB!$C$2</f>
        <v>150</v>
      </c>
      <c r="O333">
        <f>E333/100*Food_DB!$C$3</f>
        <v>260</v>
      </c>
      <c r="P333">
        <f>F333/30*Food_DB!$C$4</f>
        <v>111</v>
      </c>
      <c r="Q333">
        <f>G333*Food_DB!$C$5</f>
        <v>222</v>
      </c>
      <c r="R333">
        <f>H333/100*Food_DB!$C$6</f>
        <v>12</v>
      </c>
      <c r="S333">
        <f>I333/100*Food_DB!$C$7</f>
        <v>62.5</v>
      </c>
      <c r="T333">
        <f>IFERROR(K333/100*VLOOKUP(J333,Food_DB!$A$2:$F$14,3,FALSE),0)</f>
        <v>575</v>
      </c>
      <c r="U333">
        <f>L333*Food_DB!$C$8</f>
        <v>270</v>
      </c>
      <c r="V333">
        <f t="shared" si="20"/>
        <v>0</v>
      </c>
      <c r="W333">
        <f t="shared" si="21"/>
        <v>1662.5</v>
      </c>
      <c r="X333">
        <f>D333*Food_DB!$D$2+E333/100*Food_DB!$D$3+F333/30*Food_DB!$D$4+G333*Food_DB!$D$5+H333/100*Food_DB!$D$6+I333/100*Food_DB!$D$7+IFERROR(K333/100*VLOOKUP(J333,Food_DB!$A$2:$F$14,4,FALSE),0)+L333*Food_DB!$D$8</f>
        <v>87.999999999999986</v>
      </c>
      <c r="Y333">
        <f>D333*Food_DB!$E$2+E333/100*Food_DB!$E$3+F333/30*Food_DB!$E$4+G333*Food_DB!$E$5+H333/100*Food_DB!$E$6+I333/100*Food_DB!$E$7+IFERROR(K333/100*VLOOKUP(J333,Food_DB!$A$2:$F$14,5,FALSE),0)+L333*Food_DB!$E$8</f>
        <v>68.599999999999994</v>
      </c>
      <c r="Z333">
        <f>D333*Food_DB!$F$2+E333/100*Food_DB!$F$3+F333/30*Food_DB!$F$4+G333*Food_DB!$F$5+H333/100*Food_DB!$F$6+I333/100*Food_DB!$F$7+IFERROR(K333/100*VLOOKUP(J333,Food_DB!$A$2:$F$14,6,FALSE),0)+L333*Food_DB!$F$8</f>
        <v>178.15</v>
      </c>
      <c r="AA333">
        <v>0</v>
      </c>
      <c r="AB333">
        <v>0</v>
      </c>
      <c r="AC333">
        <v>0</v>
      </c>
      <c r="AD333">
        <v>3.5</v>
      </c>
      <c r="AE333">
        <f>Dashboard!$B$6*AA333+Dashboard!$B$6*4*AB333/60+Dashboard!$B$6*8*AC333/120+Dashboard!$B$6*7*AD333</f>
        <v>1960</v>
      </c>
      <c r="AF333">
        <f>Dashboard!$B$5</f>
        <v>1700</v>
      </c>
      <c r="AG333">
        <f t="shared" si="22"/>
        <v>4000</v>
      </c>
      <c r="AH333">
        <f t="shared" si="23"/>
        <v>-2337.5</v>
      </c>
    </row>
    <row r="334" spans="1:34">
      <c r="A334">
        <v>46510</v>
      </c>
      <c r="B334" t="s">
        <v>88</v>
      </c>
      <c r="C334" t="s">
        <v>89</v>
      </c>
      <c r="D334">
        <v>2</v>
      </c>
      <c r="E334">
        <v>400</v>
      </c>
      <c r="F334">
        <v>30</v>
      </c>
      <c r="G334">
        <v>1</v>
      </c>
      <c r="H334">
        <v>150</v>
      </c>
      <c r="I334">
        <v>250</v>
      </c>
      <c r="J334" t="s">
        <v>82</v>
      </c>
      <c r="K334">
        <v>250</v>
      </c>
      <c r="L334">
        <v>3</v>
      </c>
      <c r="M334">
        <v>0</v>
      </c>
      <c r="N334">
        <f>D334*Food_DB!$C$2</f>
        <v>150</v>
      </c>
      <c r="O334">
        <f>E334/100*Food_DB!$C$3</f>
        <v>260</v>
      </c>
      <c r="P334">
        <f>F334/30*Food_DB!$C$4</f>
        <v>111</v>
      </c>
      <c r="Q334">
        <f>G334*Food_DB!$C$5</f>
        <v>222</v>
      </c>
      <c r="R334">
        <f>H334/100*Food_DB!$C$6</f>
        <v>12</v>
      </c>
      <c r="S334">
        <f>I334/100*Food_DB!$C$7</f>
        <v>62.5</v>
      </c>
      <c r="T334">
        <f>IFERROR(K334/100*VLOOKUP(J334,Food_DB!$A$2:$F$14,3,FALSE),0)</f>
        <v>550</v>
      </c>
      <c r="U334">
        <f>L334*Food_DB!$C$8</f>
        <v>270</v>
      </c>
      <c r="V334">
        <f t="shared" si="20"/>
        <v>0</v>
      </c>
      <c r="W334">
        <f t="shared" si="21"/>
        <v>1637.5</v>
      </c>
      <c r="X334">
        <f>D334*Food_DB!$D$2+E334/100*Food_DB!$D$3+F334/30*Food_DB!$D$4+G334*Food_DB!$D$5+H334/100*Food_DB!$D$6+I334/100*Food_DB!$D$7+IFERROR(K334/100*VLOOKUP(J334,Food_DB!$A$2:$F$14,4,FALSE),0)+L334*Food_DB!$D$8</f>
        <v>92.999999999999986</v>
      </c>
      <c r="Y334">
        <f>D334*Food_DB!$E$2+E334/100*Food_DB!$E$3+F334/30*Food_DB!$E$4+G334*Food_DB!$E$5+H334/100*Food_DB!$E$6+I334/100*Food_DB!$E$7+IFERROR(K334/100*VLOOKUP(J334,Food_DB!$A$2:$F$14,5,FALSE),0)+L334*Food_DB!$E$8</f>
        <v>63.6</v>
      </c>
      <c r="Z334">
        <f>D334*Food_DB!$F$2+E334/100*Food_DB!$F$3+F334/30*Food_DB!$F$4+G334*Food_DB!$F$5+H334/100*Food_DB!$F$6+I334/100*Food_DB!$F$7+IFERROR(K334/100*VLOOKUP(J334,Food_DB!$A$2:$F$14,6,FALSE),0)+L334*Food_DB!$F$8</f>
        <v>178.15</v>
      </c>
      <c r="AA334">
        <v>6.5</v>
      </c>
      <c r="AB334">
        <v>30</v>
      </c>
      <c r="AC334">
        <v>0</v>
      </c>
      <c r="AD334">
        <v>0</v>
      </c>
      <c r="AE334">
        <f>Dashboard!$B$6*AA334+Dashboard!$B$6*4*AB334/60+Dashboard!$B$6*8*AC334/120+Dashboard!$B$6*7*AD334</f>
        <v>680</v>
      </c>
      <c r="AF334">
        <f>Dashboard!$B$5</f>
        <v>1700</v>
      </c>
      <c r="AG334">
        <f t="shared" si="22"/>
        <v>2720</v>
      </c>
      <c r="AH334">
        <f t="shared" si="23"/>
        <v>-1082.5</v>
      </c>
    </row>
    <row r="335" spans="1:34">
      <c r="A335">
        <v>46511</v>
      </c>
      <c r="B335" t="s">
        <v>91</v>
      </c>
      <c r="C335" t="s">
        <v>89</v>
      </c>
      <c r="D335">
        <v>2</v>
      </c>
      <c r="E335">
        <v>400</v>
      </c>
      <c r="F335">
        <v>30</v>
      </c>
      <c r="G335">
        <v>1</v>
      </c>
      <c r="H335">
        <v>150</v>
      </c>
      <c r="I335">
        <v>250</v>
      </c>
      <c r="J335" t="s">
        <v>85</v>
      </c>
      <c r="K335">
        <v>250</v>
      </c>
      <c r="L335">
        <v>3</v>
      </c>
      <c r="M335">
        <v>0</v>
      </c>
      <c r="N335">
        <f>D335*Food_DB!$C$2</f>
        <v>150</v>
      </c>
      <c r="O335">
        <f>E335/100*Food_DB!$C$3</f>
        <v>260</v>
      </c>
      <c r="P335">
        <f>F335/30*Food_DB!$C$4</f>
        <v>111</v>
      </c>
      <c r="Q335">
        <f>G335*Food_DB!$C$5</f>
        <v>222</v>
      </c>
      <c r="R335">
        <f>H335/100*Food_DB!$C$6</f>
        <v>12</v>
      </c>
      <c r="S335">
        <f>I335/100*Food_DB!$C$7</f>
        <v>62.5</v>
      </c>
      <c r="T335">
        <f>IFERROR(K335/100*VLOOKUP(J335,Food_DB!$A$2:$F$14,3,FALSE),0)</f>
        <v>450</v>
      </c>
      <c r="U335">
        <f>L335*Food_DB!$C$8</f>
        <v>270</v>
      </c>
      <c r="V335">
        <f t="shared" si="20"/>
        <v>0</v>
      </c>
      <c r="W335">
        <f t="shared" si="21"/>
        <v>1537.5</v>
      </c>
      <c r="X335">
        <f>D335*Food_DB!$D$2+E335/100*Food_DB!$D$3+F335/30*Food_DB!$D$4+G335*Food_DB!$D$5+H335/100*Food_DB!$D$6+I335/100*Food_DB!$D$7+IFERROR(K335/100*VLOOKUP(J335,Food_DB!$A$2:$F$14,4,FALSE),0)+L335*Food_DB!$D$8</f>
        <v>92.999999999999986</v>
      </c>
      <c r="Y335">
        <f>D335*Food_DB!$E$2+E335/100*Food_DB!$E$3+F335/30*Food_DB!$E$4+G335*Food_DB!$E$5+H335/100*Food_DB!$E$6+I335/100*Food_DB!$E$7+IFERROR(K335/100*VLOOKUP(J335,Food_DB!$A$2:$F$14,5,FALSE),0)+L335*Food_DB!$E$8</f>
        <v>51.1</v>
      </c>
      <c r="Z335">
        <f>D335*Food_DB!$F$2+E335/100*Food_DB!$F$3+F335/30*Food_DB!$F$4+G335*Food_DB!$F$5+H335/100*Food_DB!$F$6+I335/100*Food_DB!$F$7+IFERROR(K335/100*VLOOKUP(J335,Food_DB!$A$2:$F$14,6,FALSE),0)+L335*Food_DB!$F$8</f>
        <v>178.15</v>
      </c>
      <c r="AA335">
        <v>6.5</v>
      </c>
      <c r="AB335">
        <v>30</v>
      </c>
      <c r="AC335">
        <v>0</v>
      </c>
      <c r="AD335">
        <v>0</v>
      </c>
      <c r="AE335">
        <f>Dashboard!$B$6*AA335+Dashboard!$B$6*4*AB335/60+Dashboard!$B$6*8*AC335/120+Dashboard!$B$6*7*AD335</f>
        <v>680</v>
      </c>
      <c r="AF335">
        <f>Dashboard!$B$5</f>
        <v>1700</v>
      </c>
      <c r="AG335">
        <f t="shared" si="22"/>
        <v>2720</v>
      </c>
      <c r="AH335">
        <f t="shared" si="23"/>
        <v>-1182.5</v>
      </c>
    </row>
    <row r="336" spans="1:34">
      <c r="A336">
        <v>46512</v>
      </c>
      <c r="B336" t="s">
        <v>92</v>
      </c>
      <c r="C336" t="s">
        <v>89</v>
      </c>
      <c r="D336">
        <v>2</v>
      </c>
      <c r="E336">
        <v>400</v>
      </c>
      <c r="F336">
        <v>30</v>
      </c>
      <c r="G336">
        <v>1</v>
      </c>
      <c r="H336">
        <v>150</v>
      </c>
      <c r="I336">
        <v>250</v>
      </c>
      <c r="J336" t="s">
        <v>87</v>
      </c>
      <c r="K336">
        <v>250</v>
      </c>
      <c r="L336">
        <v>3</v>
      </c>
      <c r="M336">
        <v>0</v>
      </c>
      <c r="N336">
        <f>D336*Food_DB!$C$2</f>
        <v>150</v>
      </c>
      <c r="O336">
        <f>E336/100*Food_DB!$C$3</f>
        <v>260</v>
      </c>
      <c r="P336">
        <f>F336/30*Food_DB!$C$4</f>
        <v>111</v>
      </c>
      <c r="Q336">
        <f>G336*Food_DB!$C$5</f>
        <v>222</v>
      </c>
      <c r="R336">
        <f>H336/100*Food_DB!$C$6</f>
        <v>12</v>
      </c>
      <c r="S336">
        <f>I336/100*Food_DB!$C$7</f>
        <v>62.5</v>
      </c>
      <c r="T336">
        <f>IFERROR(K336/100*VLOOKUP(J336,Food_DB!$A$2:$F$14,3,FALSE),0)</f>
        <v>300</v>
      </c>
      <c r="U336">
        <f>L336*Food_DB!$C$8</f>
        <v>270</v>
      </c>
      <c r="V336">
        <f t="shared" si="20"/>
        <v>0</v>
      </c>
      <c r="W336">
        <f t="shared" si="21"/>
        <v>1387.5</v>
      </c>
      <c r="X336">
        <f>D336*Food_DB!$D$2+E336/100*Food_DB!$D$3+F336/30*Food_DB!$D$4+G336*Food_DB!$D$5+H336/100*Food_DB!$D$6+I336/100*Food_DB!$D$7+IFERROR(K336/100*VLOOKUP(J336,Food_DB!$A$2:$F$14,4,FALSE),0)+L336*Food_DB!$D$8</f>
        <v>100.49999999999999</v>
      </c>
      <c r="Y336">
        <f>D336*Food_DB!$E$2+E336/100*Food_DB!$E$3+F336/30*Food_DB!$E$4+G336*Food_DB!$E$5+H336/100*Food_DB!$E$6+I336/100*Food_DB!$E$7+IFERROR(K336/100*VLOOKUP(J336,Food_DB!$A$2:$F$14,5,FALSE),0)+L336*Food_DB!$E$8</f>
        <v>32.35</v>
      </c>
      <c r="Z336">
        <f>D336*Food_DB!$F$2+E336/100*Food_DB!$F$3+F336/30*Food_DB!$F$4+G336*Food_DB!$F$5+H336/100*Food_DB!$F$6+I336/100*Food_DB!$F$7+IFERROR(K336/100*VLOOKUP(J336,Food_DB!$A$2:$F$14,6,FALSE),0)+L336*Food_DB!$F$8</f>
        <v>178.15</v>
      </c>
      <c r="AA336">
        <v>6.5</v>
      </c>
      <c r="AB336">
        <v>30</v>
      </c>
      <c r="AC336">
        <v>0</v>
      </c>
      <c r="AD336">
        <v>0</v>
      </c>
      <c r="AE336">
        <f>Dashboard!$B$6*AA336+Dashboard!$B$6*4*AB336/60+Dashboard!$B$6*8*AC336/120+Dashboard!$B$6*7*AD336</f>
        <v>680</v>
      </c>
      <c r="AF336">
        <f>Dashboard!$B$5</f>
        <v>1700</v>
      </c>
      <c r="AG336">
        <f t="shared" si="22"/>
        <v>2720</v>
      </c>
      <c r="AH336">
        <f t="shared" si="23"/>
        <v>-1332.5</v>
      </c>
    </row>
    <row r="337" spans="1:34">
      <c r="A337">
        <v>46513</v>
      </c>
      <c r="B337" t="s">
        <v>93</v>
      </c>
      <c r="C337" t="s">
        <v>89</v>
      </c>
      <c r="D337">
        <v>2</v>
      </c>
      <c r="E337">
        <v>400</v>
      </c>
      <c r="F337">
        <v>30</v>
      </c>
      <c r="G337">
        <v>1</v>
      </c>
      <c r="H337">
        <v>150</v>
      </c>
      <c r="I337">
        <v>250</v>
      </c>
      <c r="J337" t="s">
        <v>90</v>
      </c>
      <c r="K337">
        <v>250</v>
      </c>
      <c r="L337">
        <v>3</v>
      </c>
      <c r="M337">
        <v>0</v>
      </c>
      <c r="N337">
        <f>D337*Food_DB!$C$2</f>
        <v>150</v>
      </c>
      <c r="O337">
        <f>E337/100*Food_DB!$C$3</f>
        <v>260</v>
      </c>
      <c r="P337">
        <f>F337/30*Food_DB!$C$4</f>
        <v>111</v>
      </c>
      <c r="Q337">
        <f>G337*Food_DB!$C$5</f>
        <v>222</v>
      </c>
      <c r="R337">
        <f>H337/100*Food_DB!$C$6</f>
        <v>12</v>
      </c>
      <c r="S337">
        <f>I337/100*Food_DB!$C$7</f>
        <v>62.5</v>
      </c>
      <c r="T337">
        <f>IFERROR(K337/100*VLOOKUP(J337,Food_DB!$A$2:$F$14,3,FALSE),0)</f>
        <v>575</v>
      </c>
      <c r="U337">
        <f>L337*Food_DB!$C$8</f>
        <v>270</v>
      </c>
      <c r="V337">
        <f t="shared" si="20"/>
        <v>0</v>
      </c>
      <c r="W337">
        <f t="shared" si="21"/>
        <v>1662.5</v>
      </c>
      <c r="X337">
        <f>D337*Food_DB!$D$2+E337/100*Food_DB!$D$3+F337/30*Food_DB!$D$4+G337*Food_DB!$D$5+H337/100*Food_DB!$D$6+I337/100*Food_DB!$D$7+IFERROR(K337/100*VLOOKUP(J337,Food_DB!$A$2:$F$14,4,FALSE),0)+L337*Food_DB!$D$8</f>
        <v>87.999999999999986</v>
      </c>
      <c r="Y337">
        <f>D337*Food_DB!$E$2+E337/100*Food_DB!$E$3+F337/30*Food_DB!$E$4+G337*Food_DB!$E$5+H337/100*Food_DB!$E$6+I337/100*Food_DB!$E$7+IFERROR(K337/100*VLOOKUP(J337,Food_DB!$A$2:$F$14,5,FALSE),0)+L337*Food_DB!$E$8</f>
        <v>68.599999999999994</v>
      </c>
      <c r="Z337">
        <f>D337*Food_DB!$F$2+E337/100*Food_DB!$F$3+F337/30*Food_DB!$F$4+G337*Food_DB!$F$5+H337/100*Food_DB!$F$6+I337/100*Food_DB!$F$7+IFERROR(K337/100*VLOOKUP(J337,Food_DB!$A$2:$F$14,6,FALSE),0)+L337*Food_DB!$F$8</f>
        <v>178.15</v>
      </c>
      <c r="AA337">
        <v>6.5</v>
      </c>
      <c r="AB337">
        <v>30</v>
      </c>
      <c r="AC337">
        <v>0</v>
      </c>
      <c r="AD337">
        <v>0</v>
      </c>
      <c r="AE337">
        <f>Dashboard!$B$6*AA337+Dashboard!$B$6*4*AB337/60+Dashboard!$B$6*8*AC337/120+Dashboard!$B$6*7*AD337</f>
        <v>680</v>
      </c>
      <c r="AF337">
        <f>Dashboard!$B$5</f>
        <v>1700</v>
      </c>
      <c r="AG337">
        <f t="shared" si="22"/>
        <v>2720</v>
      </c>
      <c r="AH337">
        <f t="shared" si="23"/>
        <v>-1057.5</v>
      </c>
    </row>
    <row r="338" spans="1:34">
      <c r="A338">
        <v>46514</v>
      </c>
      <c r="B338" t="s">
        <v>80</v>
      </c>
      <c r="C338" t="s">
        <v>81</v>
      </c>
      <c r="D338">
        <v>2</v>
      </c>
      <c r="E338">
        <v>400</v>
      </c>
      <c r="F338">
        <v>30</v>
      </c>
      <c r="G338">
        <v>1</v>
      </c>
      <c r="H338">
        <v>150</v>
      </c>
      <c r="I338">
        <v>250</v>
      </c>
      <c r="J338" t="s">
        <v>82</v>
      </c>
      <c r="K338">
        <v>250</v>
      </c>
      <c r="L338">
        <v>3</v>
      </c>
      <c r="M338">
        <v>1000</v>
      </c>
      <c r="N338">
        <f>D338*Food_DB!$C$2</f>
        <v>150</v>
      </c>
      <c r="O338">
        <f>E338/100*Food_DB!$C$3</f>
        <v>260</v>
      </c>
      <c r="P338">
        <f>F338/30*Food_DB!$C$4</f>
        <v>111</v>
      </c>
      <c r="Q338">
        <f>G338*Food_DB!$C$5</f>
        <v>222</v>
      </c>
      <c r="R338">
        <f>H338/100*Food_DB!$C$6</f>
        <v>12</v>
      </c>
      <c r="S338">
        <f>I338/100*Food_DB!$C$7</f>
        <v>62.5</v>
      </c>
      <c r="T338">
        <f>IFERROR(K338/100*VLOOKUP(J338,Food_DB!$A$2:$F$14,3,FALSE),0)</f>
        <v>550</v>
      </c>
      <c r="U338">
        <f>L338*Food_DB!$C$8</f>
        <v>270</v>
      </c>
      <c r="V338">
        <f t="shared" si="20"/>
        <v>1000</v>
      </c>
      <c r="W338">
        <f t="shared" si="21"/>
        <v>2637.5</v>
      </c>
      <c r="X338">
        <f>D338*Food_DB!$D$2+E338/100*Food_DB!$D$3+F338/30*Food_DB!$D$4+G338*Food_DB!$D$5+H338/100*Food_DB!$D$6+I338/100*Food_DB!$D$7+IFERROR(K338/100*VLOOKUP(J338,Food_DB!$A$2:$F$14,4,FALSE),0)+L338*Food_DB!$D$8</f>
        <v>92.999999999999986</v>
      </c>
      <c r="Y338">
        <f>D338*Food_DB!$E$2+E338/100*Food_DB!$E$3+F338/30*Food_DB!$E$4+G338*Food_DB!$E$5+H338/100*Food_DB!$E$6+I338/100*Food_DB!$E$7+IFERROR(K338/100*VLOOKUP(J338,Food_DB!$A$2:$F$14,5,FALSE),0)+L338*Food_DB!$E$8</f>
        <v>63.6</v>
      </c>
      <c r="Z338">
        <f>D338*Food_DB!$F$2+E338/100*Food_DB!$F$3+F338/30*Food_DB!$F$4+G338*Food_DB!$F$5+H338/100*Food_DB!$F$6+I338/100*Food_DB!$F$7+IFERROR(K338/100*VLOOKUP(J338,Food_DB!$A$2:$F$14,6,FALSE),0)+L338*Food_DB!$F$8</f>
        <v>178.15</v>
      </c>
      <c r="AA338">
        <v>6.5</v>
      </c>
      <c r="AB338">
        <v>30</v>
      </c>
      <c r="AC338">
        <v>0</v>
      </c>
      <c r="AD338">
        <v>0</v>
      </c>
      <c r="AE338">
        <f>Dashboard!$B$6*AA338+Dashboard!$B$6*4*AB338/60+Dashboard!$B$6*8*AC338/120+Dashboard!$B$6*7*AD338</f>
        <v>680</v>
      </c>
      <c r="AF338">
        <f>Dashboard!$B$5</f>
        <v>1700</v>
      </c>
      <c r="AG338">
        <f t="shared" si="22"/>
        <v>2720</v>
      </c>
      <c r="AH338">
        <f t="shared" si="23"/>
        <v>-82.5</v>
      </c>
    </row>
    <row r="339" spans="1:34">
      <c r="A339">
        <v>46515</v>
      </c>
      <c r="B339" t="s">
        <v>83</v>
      </c>
      <c r="C339" t="s">
        <v>84</v>
      </c>
      <c r="D339">
        <v>2</v>
      </c>
      <c r="E339">
        <v>400</v>
      </c>
      <c r="F339">
        <v>30</v>
      </c>
      <c r="G339">
        <v>1</v>
      </c>
      <c r="H339">
        <v>150</v>
      </c>
      <c r="I339">
        <v>250</v>
      </c>
      <c r="J339" t="s">
        <v>85</v>
      </c>
      <c r="K339">
        <v>250</v>
      </c>
      <c r="L339">
        <v>3</v>
      </c>
      <c r="M339">
        <v>0</v>
      </c>
      <c r="N339">
        <f>D339*Food_DB!$C$2</f>
        <v>150</v>
      </c>
      <c r="O339">
        <f>E339/100*Food_DB!$C$3</f>
        <v>260</v>
      </c>
      <c r="P339">
        <f>F339/30*Food_DB!$C$4</f>
        <v>111</v>
      </c>
      <c r="Q339">
        <f>G339*Food_DB!$C$5</f>
        <v>222</v>
      </c>
      <c r="R339">
        <f>H339/100*Food_DB!$C$6</f>
        <v>12</v>
      </c>
      <c r="S339">
        <f>I339/100*Food_DB!$C$7</f>
        <v>62.5</v>
      </c>
      <c r="T339">
        <f>IFERROR(K339/100*VLOOKUP(J339,Food_DB!$A$2:$F$14,3,FALSE),0)</f>
        <v>450</v>
      </c>
      <c r="U339">
        <f>L339*Food_DB!$C$8</f>
        <v>270</v>
      </c>
      <c r="V339">
        <f t="shared" si="20"/>
        <v>0</v>
      </c>
      <c r="W339">
        <f t="shared" si="21"/>
        <v>1537.5</v>
      </c>
      <c r="X339">
        <f>D339*Food_DB!$D$2+E339/100*Food_DB!$D$3+F339/30*Food_DB!$D$4+G339*Food_DB!$D$5+H339/100*Food_DB!$D$6+I339/100*Food_DB!$D$7+IFERROR(K339/100*VLOOKUP(J339,Food_DB!$A$2:$F$14,4,FALSE),0)+L339*Food_DB!$D$8</f>
        <v>92.999999999999986</v>
      </c>
      <c r="Y339">
        <f>D339*Food_DB!$E$2+E339/100*Food_DB!$E$3+F339/30*Food_DB!$E$4+G339*Food_DB!$E$5+H339/100*Food_DB!$E$6+I339/100*Food_DB!$E$7+IFERROR(K339/100*VLOOKUP(J339,Food_DB!$A$2:$F$14,5,FALSE),0)+L339*Food_DB!$E$8</f>
        <v>51.1</v>
      </c>
      <c r="Z339">
        <f>D339*Food_DB!$F$2+E339/100*Food_DB!$F$3+F339/30*Food_DB!$F$4+G339*Food_DB!$F$5+H339/100*Food_DB!$F$6+I339/100*Food_DB!$F$7+IFERROR(K339/100*VLOOKUP(J339,Food_DB!$A$2:$F$14,6,FALSE),0)+L339*Food_DB!$F$8</f>
        <v>178.15</v>
      </c>
      <c r="AA339">
        <v>0</v>
      </c>
      <c r="AB339">
        <v>0</v>
      </c>
      <c r="AC339">
        <v>0</v>
      </c>
      <c r="AD339">
        <v>3.5</v>
      </c>
      <c r="AE339">
        <f>Dashboard!$B$6*AA339+Dashboard!$B$6*4*AB339/60+Dashboard!$B$6*8*AC339/120+Dashboard!$B$6*7*AD339</f>
        <v>1960</v>
      </c>
      <c r="AF339">
        <f>Dashboard!$B$5</f>
        <v>1700</v>
      </c>
      <c r="AG339">
        <f t="shared" si="22"/>
        <v>4000</v>
      </c>
      <c r="AH339">
        <f t="shared" si="23"/>
        <v>-2462.5</v>
      </c>
    </row>
    <row r="340" spans="1:34">
      <c r="A340">
        <v>46516</v>
      </c>
      <c r="B340" t="s">
        <v>86</v>
      </c>
      <c r="C340" t="s">
        <v>84</v>
      </c>
      <c r="D340">
        <v>2</v>
      </c>
      <c r="E340">
        <v>400</v>
      </c>
      <c r="F340">
        <v>30</v>
      </c>
      <c r="G340">
        <v>1</v>
      </c>
      <c r="H340">
        <v>150</v>
      </c>
      <c r="I340">
        <v>250</v>
      </c>
      <c r="J340" t="s">
        <v>87</v>
      </c>
      <c r="K340">
        <v>250</v>
      </c>
      <c r="L340">
        <v>3</v>
      </c>
      <c r="M340">
        <v>0</v>
      </c>
      <c r="N340">
        <f>D340*Food_DB!$C$2</f>
        <v>150</v>
      </c>
      <c r="O340">
        <f>E340/100*Food_DB!$C$3</f>
        <v>260</v>
      </c>
      <c r="P340">
        <f>F340/30*Food_DB!$C$4</f>
        <v>111</v>
      </c>
      <c r="Q340">
        <f>G340*Food_DB!$C$5</f>
        <v>222</v>
      </c>
      <c r="R340">
        <f>H340/100*Food_DB!$C$6</f>
        <v>12</v>
      </c>
      <c r="S340">
        <f>I340/100*Food_DB!$C$7</f>
        <v>62.5</v>
      </c>
      <c r="T340">
        <f>IFERROR(K340/100*VLOOKUP(J340,Food_DB!$A$2:$F$14,3,FALSE),0)</f>
        <v>300</v>
      </c>
      <c r="U340">
        <f>L340*Food_DB!$C$8</f>
        <v>270</v>
      </c>
      <c r="V340">
        <f t="shared" si="20"/>
        <v>0</v>
      </c>
      <c r="W340">
        <f t="shared" si="21"/>
        <v>1387.5</v>
      </c>
      <c r="X340">
        <f>D340*Food_DB!$D$2+E340/100*Food_DB!$D$3+F340/30*Food_DB!$D$4+G340*Food_DB!$D$5+H340/100*Food_DB!$D$6+I340/100*Food_DB!$D$7+IFERROR(K340/100*VLOOKUP(J340,Food_DB!$A$2:$F$14,4,FALSE),0)+L340*Food_DB!$D$8</f>
        <v>100.49999999999999</v>
      </c>
      <c r="Y340">
        <f>D340*Food_DB!$E$2+E340/100*Food_DB!$E$3+F340/30*Food_DB!$E$4+G340*Food_DB!$E$5+H340/100*Food_DB!$E$6+I340/100*Food_DB!$E$7+IFERROR(K340/100*VLOOKUP(J340,Food_DB!$A$2:$F$14,5,FALSE),0)+L340*Food_DB!$E$8</f>
        <v>32.35</v>
      </c>
      <c r="Z340">
        <f>D340*Food_DB!$F$2+E340/100*Food_DB!$F$3+F340/30*Food_DB!$F$4+G340*Food_DB!$F$5+H340/100*Food_DB!$F$6+I340/100*Food_DB!$F$7+IFERROR(K340/100*VLOOKUP(J340,Food_DB!$A$2:$F$14,6,FALSE),0)+L340*Food_DB!$F$8</f>
        <v>178.15</v>
      </c>
      <c r="AA340">
        <v>0</v>
      </c>
      <c r="AB340">
        <v>0</v>
      </c>
      <c r="AC340">
        <v>0</v>
      </c>
      <c r="AD340">
        <v>3.5</v>
      </c>
      <c r="AE340">
        <f>Dashboard!$B$6*AA340+Dashboard!$B$6*4*AB340/60+Dashboard!$B$6*8*AC340/120+Dashboard!$B$6*7*AD340</f>
        <v>1960</v>
      </c>
      <c r="AF340">
        <f>Dashboard!$B$5</f>
        <v>1700</v>
      </c>
      <c r="AG340">
        <f t="shared" si="22"/>
        <v>4000</v>
      </c>
      <c r="AH340">
        <f t="shared" si="23"/>
        <v>-2612.5</v>
      </c>
    </row>
    <row r="341" spans="1:34">
      <c r="A341">
        <v>46517</v>
      </c>
      <c r="B341" t="s">
        <v>88</v>
      </c>
      <c r="C341" t="s">
        <v>89</v>
      </c>
      <c r="D341">
        <v>2</v>
      </c>
      <c r="E341">
        <v>400</v>
      </c>
      <c r="F341">
        <v>30</v>
      </c>
      <c r="G341">
        <v>1</v>
      </c>
      <c r="H341">
        <v>150</v>
      </c>
      <c r="I341">
        <v>250</v>
      </c>
      <c r="J341" t="s">
        <v>90</v>
      </c>
      <c r="K341">
        <v>250</v>
      </c>
      <c r="L341">
        <v>3</v>
      </c>
      <c r="M341">
        <v>0</v>
      </c>
      <c r="N341">
        <f>D341*Food_DB!$C$2</f>
        <v>150</v>
      </c>
      <c r="O341">
        <f>E341/100*Food_DB!$C$3</f>
        <v>260</v>
      </c>
      <c r="P341">
        <f>F341/30*Food_DB!$C$4</f>
        <v>111</v>
      </c>
      <c r="Q341">
        <f>G341*Food_DB!$C$5</f>
        <v>222</v>
      </c>
      <c r="R341">
        <f>H341/100*Food_DB!$C$6</f>
        <v>12</v>
      </c>
      <c r="S341">
        <f>I341/100*Food_DB!$C$7</f>
        <v>62.5</v>
      </c>
      <c r="T341">
        <f>IFERROR(K341/100*VLOOKUP(J341,Food_DB!$A$2:$F$14,3,FALSE),0)</f>
        <v>575</v>
      </c>
      <c r="U341">
        <f>L341*Food_DB!$C$8</f>
        <v>270</v>
      </c>
      <c r="V341">
        <f t="shared" si="20"/>
        <v>0</v>
      </c>
      <c r="W341">
        <f t="shared" si="21"/>
        <v>1662.5</v>
      </c>
      <c r="X341">
        <f>D341*Food_DB!$D$2+E341/100*Food_DB!$D$3+F341/30*Food_DB!$D$4+G341*Food_DB!$D$5+H341/100*Food_DB!$D$6+I341/100*Food_DB!$D$7+IFERROR(K341/100*VLOOKUP(J341,Food_DB!$A$2:$F$14,4,FALSE),0)+L341*Food_DB!$D$8</f>
        <v>87.999999999999986</v>
      </c>
      <c r="Y341">
        <f>D341*Food_DB!$E$2+E341/100*Food_DB!$E$3+F341/30*Food_DB!$E$4+G341*Food_DB!$E$5+H341/100*Food_DB!$E$6+I341/100*Food_DB!$E$7+IFERROR(K341/100*VLOOKUP(J341,Food_DB!$A$2:$F$14,5,FALSE),0)+L341*Food_DB!$E$8</f>
        <v>68.599999999999994</v>
      </c>
      <c r="Z341">
        <f>D341*Food_DB!$F$2+E341/100*Food_DB!$F$3+F341/30*Food_DB!$F$4+G341*Food_DB!$F$5+H341/100*Food_DB!$F$6+I341/100*Food_DB!$F$7+IFERROR(K341/100*VLOOKUP(J341,Food_DB!$A$2:$F$14,6,FALSE),0)+L341*Food_DB!$F$8</f>
        <v>178.15</v>
      </c>
      <c r="AA341">
        <v>6.5</v>
      </c>
      <c r="AB341">
        <v>30</v>
      </c>
      <c r="AC341">
        <v>0</v>
      </c>
      <c r="AD341">
        <v>0</v>
      </c>
      <c r="AE341">
        <f>Dashboard!$B$6*AA341+Dashboard!$B$6*4*AB341/60+Dashboard!$B$6*8*AC341/120+Dashboard!$B$6*7*AD341</f>
        <v>680</v>
      </c>
      <c r="AF341">
        <f>Dashboard!$B$5</f>
        <v>1700</v>
      </c>
      <c r="AG341">
        <f t="shared" si="22"/>
        <v>2720</v>
      </c>
      <c r="AH341">
        <f t="shared" si="23"/>
        <v>-1057.5</v>
      </c>
    </row>
    <row r="342" spans="1:34">
      <c r="A342">
        <v>46518</v>
      </c>
      <c r="B342" t="s">
        <v>91</v>
      </c>
      <c r="C342" t="s">
        <v>89</v>
      </c>
      <c r="D342">
        <v>2</v>
      </c>
      <c r="E342">
        <v>400</v>
      </c>
      <c r="F342">
        <v>30</v>
      </c>
      <c r="G342">
        <v>1</v>
      </c>
      <c r="H342">
        <v>150</v>
      </c>
      <c r="I342">
        <v>250</v>
      </c>
      <c r="J342" t="s">
        <v>82</v>
      </c>
      <c r="K342">
        <v>250</v>
      </c>
      <c r="L342">
        <v>3</v>
      </c>
      <c r="M342">
        <v>0</v>
      </c>
      <c r="N342">
        <f>D342*Food_DB!$C$2</f>
        <v>150</v>
      </c>
      <c r="O342">
        <f>E342/100*Food_DB!$C$3</f>
        <v>260</v>
      </c>
      <c r="P342">
        <f>F342/30*Food_DB!$C$4</f>
        <v>111</v>
      </c>
      <c r="Q342">
        <f>G342*Food_DB!$C$5</f>
        <v>222</v>
      </c>
      <c r="R342">
        <f>H342/100*Food_DB!$C$6</f>
        <v>12</v>
      </c>
      <c r="S342">
        <f>I342/100*Food_DB!$C$7</f>
        <v>62.5</v>
      </c>
      <c r="T342">
        <f>IFERROR(K342/100*VLOOKUP(J342,Food_DB!$A$2:$F$14,3,FALSE),0)</f>
        <v>550</v>
      </c>
      <c r="U342">
        <f>L342*Food_DB!$C$8</f>
        <v>270</v>
      </c>
      <c r="V342">
        <f t="shared" si="20"/>
        <v>0</v>
      </c>
      <c r="W342">
        <f t="shared" si="21"/>
        <v>1637.5</v>
      </c>
      <c r="X342">
        <f>D342*Food_DB!$D$2+E342/100*Food_DB!$D$3+F342/30*Food_DB!$D$4+G342*Food_DB!$D$5+H342/100*Food_DB!$D$6+I342/100*Food_DB!$D$7+IFERROR(K342/100*VLOOKUP(J342,Food_DB!$A$2:$F$14,4,FALSE),0)+L342*Food_DB!$D$8</f>
        <v>92.999999999999986</v>
      </c>
      <c r="Y342">
        <f>D342*Food_DB!$E$2+E342/100*Food_DB!$E$3+F342/30*Food_DB!$E$4+G342*Food_DB!$E$5+H342/100*Food_DB!$E$6+I342/100*Food_DB!$E$7+IFERROR(K342/100*VLOOKUP(J342,Food_DB!$A$2:$F$14,5,FALSE),0)+L342*Food_DB!$E$8</f>
        <v>63.6</v>
      </c>
      <c r="Z342">
        <f>D342*Food_DB!$F$2+E342/100*Food_DB!$F$3+F342/30*Food_DB!$F$4+G342*Food_DB!$F$5+H342/100*Food_DB!$F$6+I342/100*Food_DB!$F$7+IFERROR(K342/100*VLOOKUP(J342,Food_DB!$A$2:$F$14,6,FALSE),0)+L342*Food_DB!$F$8</f>
        <v>178.15</v>
      </c>
      <c r="AA342">
        <v>6.5</v>
      </c>
      <c r="AB342">
        <v>30</v>
      </c>
      <c r="AC342">
        <v>0</v>
      </c>
      <c r="AD342">
        <v>0</v>
      </c>
      <c r="AE342">
        <f>Dashboard!$B$6*AA342+Dashboard!$B$6*4*AB342/60+Dashboard!$B$6*8*AC342/120+Dashboard!$B$6*7*AD342</f>
        <v>680</v>
      </c>
      <c r="AF342">
        <f>Dashboard!$B$5</f>
        <v>1700</v>
      </c>
      <c r="AG342">
        <f t="shared" si="22"/>
        <v>2720</v>
      </c>
      <c r="AH342">
        <f t="shared" si="23"/>
        <v>-1082.5</v>
      </c>
    </row>
    <row r="343" spans="1:34">
      <c r="A343">
        <v>46519</v>
      </c>
      <c r="B343" t="s">
        <v>92</v>
      </c>
      <c r="C343" t="s">
        <v>89</v>
      </c>
      <c r="D343">
        <v>2</v>
      </c>
      <c r="E343">
        <v>400</v>
      </c>
      <c r="F343">
        <v>30</v>
      </c>
      <c r="G343">
        <v>1</v>
      </c>
      <c r="H343">
        <v>150</v>
      </c>
      <c r="I343">
        <v>250</v>
      </c>
      <c r="J343" t="s">
        <v>85</v>
      </c>
      <c r="K343">
        <v>250</v>
      </c>
      <c r="L343">
        <v>3</v>
      </c>
      <c r="M343">
        <v>0</v>
      </c>
      <c r="N343">
        <f>D343*Food_DB!$C$2</f>
        <v>150</v>
      </c>
      <c r="O343">
        <f>E343/100*Food_DB!$C$3</f>
        <v>260</v>
      </c>
      <c r="P343">
        <f>F343/30*Food_DB!$C$4</f>
        <v>111</v>
      </c>
      <c r="Q343">
        <f>G343*Food_DB!$C$5</f>
        <v>222</v>
      </c>
      <c r="R343">
        <f>H343/100*Food_DB!$C$6</f>
        <v>12</v>
      </c>
      <c r="S343">
        <f>I343/100*Food_DB!$C$7</f>
        <v>62.5</v>
      </c>
      <c r="T343">
        <f>IFERROR(K343/100*VLOOKUP(J343,Food_DB!$A$2:$F$14,3,FALSE),0)</f>
        <v>450</v>
      </c>
      <c r="U343">
        <f>L343*Food_DB!$C$8</f>
        <v>270</v>
      </c>
      <c r="V343">
        <f t="shared" si="20"/>
        <v>0</v>
      </c>
      <c r="W343">
        <f t="shared" si="21"/>
        <v>1537.5</v>
      </c>
      <c r="X343">
        <f>D343*Food_DB!$D$2+E343/100*Food_DB!$D$3+F343/30*Food_DB!$D$4+G343*Food_DB!$D$5+H343/100*Food_DB!$D$6+I343/100*Food_DB!$D$7+IFERROR(K343/100*VLOOKUP(J343,Food_DB!$A$2:$F$14,4,FALSE),0)+L343*Food_DB!$D$8</f>
        <v>92.999999999999986</v>
      </c>
      <c r="Y343">
        <f>D343*Food_DB!$E$2+E343/100*Food_DB!$E$3+F343/30*Food_DB!$E$4+G343*Food_DB!$E$5+H343/100*Food_DB!$E$6+I343/100*Food_DB!$E$7+IFERROR(K343/100*VLOOKUP(J343,Food_DB!$A$2:$F$14,5,FALSE),0)+L343*Food_DB!$E$8</f>
        <v>51.1</v>
      </c>
      <c r="Z343">
        <f>D343*Food_DB!$F$2+E343/100*Food_DB!$F$3+F343/30*Food_DB!$F$4+G343*Food_DB!$F$5+H343/100*Food_DB!$F$6+I343/100*Food_DB!$F$7+IFERROR(K343/100*VLOOKUP(J343,Food_DB!$A$2:$F$14,6,FALSE),0)+L343*Food_DB!$F$8</f>
        <v>178.15</v>
      </c>
      <c r="AA343">
        <v>6.5</v>
      </c>
      <c r="AB343">
        <v>30</v>
      </c>
      <c r="AC343">
        <v>0</v>
      </c>
      <c r="AD343">
        <v>0</v>
      </c>
      <c r="AE343">
        <f>Dashboard!$B$6*AA343+Dashboard!$B$6*4*AB343/60+Dashboard!$B$6*8*AC343/120+Dashboard!$B$6*7*AD343</f>
        <v>680</v>
      </c>
      <c r="AF343">
        <f>Dashboard!$B$5</f>
        <v>1700</v>
      </c>
      <c r="AG343">
        <f t="shared" si="22"/>
        <v>2720</v>
      </c>
      <c r="AH343">
        <f t="shared" si="23"/>
        <v>-1182.5</v>
      </c>
    </row>
    <row r="344" spans="1:34">
      <c r="A344">
        <v>46520</v>
      </c>
      <c r="B344" t="s">
        <v>93</v>
      </c>
      <c r="C344" t="s">
        <v>89</v>
      </c>
      <c r="D344">
        <v>2</v>
      </c>
      <c r="E344">
        <v>400</v>
      </c>
      <c r="F344">
        <v>30</v>
      </c>
      <c r="G344">
        <v>1</v>
      </c>
      <c r="H344">
        <v>150</v>
      </c>
      <c r="I344">
        <v>250</v>
      </c>
      <c r="J344" t="s">
        <v>87</v>
      </c>
      <c r="K344">
        <v>250</v>
      </c>
      <c r="L344">
        <v>3</v>
      </c>
      <c r="M344">
        <v>0</v>
      </c>
      <c r="N344">
        <f>D344*Food_DB!$C$2</f>
        <v>150</v>
      </c>
      <c r="O344">
        <f>E344/100*Food_DB!$C$3</f>
        <v>260</v>
      </c>
      <c r="P344">
        <f>F344/30*Food_DB!$C$4</f>
        <v>111</v>
      </c>
      <c r="Q344">
        <f>G344*Food_DB!$C$5</f>
        <v>222</v>
      </c>
      <c r="R344">
        <f>H344/100*Food_DB!$C$6</f>
        <v>12</v>
      </c>
      <c r="S344">
        <f>I344/100*Food_DB!$C$7</f>
        <v>62.5</v>
      </c>
      <c r="T344">
        <f>IFERROR(K344/100*VLOOKUP(J344,Food_DB!$A$2:$F$14,3,FALSE),0)</f>
        <v>300</v>
      </c>
      <c r="U344">
        <f>L344*Food_DB!$C$8</f>
        <v>270</v>
      </c>
      <c r="V344">
        <f t="shared" si="20"/>
        <v>0</v>
      </c>
      <c r="W344">
        <f t="shared" si="21"/>
        <v>1387.5</v>
      </c>
      <c r="X344">
        <f>D344*Food_DB!$D$2+E344/100*Food_DB!$D$3+F344/30*Food_DB!$D$4+G344*Food_DB!$D$5+H344/100*Food_DB!$D$6+I344/100*Food_DB!$D$7+IFERROR(K344/100*VLOOKUP(J344,Food_DB!$A$2:$F$14,4,FALSE),0)+L344*Food_DB!$D$8</f>
        <v>100.49999999999999</v>
      </c>
      <c r="Y344">
        <f>D344*Food_DB!$E$2+E344/100*Food_DB!$E$3+F344/30*Food_DB!$E$4+G344*Food_DB!$E$5+H344/100*Food_DB!$E$6+I344/100*Food_DB!$E$7+IFERROR(K344/100*VLOOKUP(J344,Food_DB!$A$2:$F$14,5,FALSE),0)+L344*Food_DB!$E$8</f>
        <v>32.35</v>
      </c>
      <c r="Z344">
        <f>D344*Food_DB!$F$2+E344/100*Food_DB!$F$3+F344/30*Food_DB!$F$4+G344*Food_DB!$F$5+H344/100*Food_DB!$F$6+I344/100*Food_DB!$F$7+IFERROR(K344/100*VLOOKUP(J344,Food_DB!$A$2:$F$14,6,FALSE),0)+L344*Food_DB!$F$8</f>
        <v>178.15</v>
      </c>
      <c r="AA344">
        <v>6.5</v>
      </c>
      <c r="AB344">
        <v>30</v>
      </c>
      <c r="AC344">
        <v>0</v>
      </c>
      <c r="AD344">
        <v>0</v>
      </c>
      <c r="AE344">
        <f>Dashboard!$B$6*AA344+Dashboard!$B$6*4*AB344/60+Dashboard!$B$6*8*AC344/120+Dashboard!$B$6*7*AD344</f>
        <v>680</v>
      </c>
      <c r="AF344">
        <f>Dashboard!$B$5</f>
        <v>1700</v>
      </c>
      <c r="AG344">
        <f t="shared" si="22"/>
        <v>2720</v>
      </c>
      <c r="AH344">
        <f t="shared" si="23"/>
        <v>-1332.5</v>
      </c>
    </row>
    <row r="345" spans="1:34">
      <c r="A345">
        <v>46521</v>
      </c>
      <c r="B345" t="s">
        <v>80</v>
      </c>
      <c r="C345" t="s">
        <v>81</v>
      </c>
      <c r="D345">
        <v>2</v>
      </c>
      <c r="E345">
        <v>400</v>
      </c>
      <c r="F345">
        <v>30</v>
      </c>
      <c r="G345">
        <v>1</v>
      </c>
      <c r="H345">
        <v>150</v>
      </c>
      <c r="I345">
        <v>250</v>
      </c>
      <c r="J345" t="s">
        <v>90</v>
      </c>
      <c r="K345">
        <v>250</v>
      </c>
      <c r="L345">
        <v>3</v>
      </c>
      <c r="M345">
        <v>1000</v>
      </c>
      <c r="N345">
        <f>D345*Food_DB!$C$2</f>
        <v>150</v>
      </c>
      <c r="O345">
        <f>E345/100*Food_DB!$C$3</f>
        <v>260</v>
      </c>
      <c r="P345">
        <f>F345/30*Food_DB!$C$4</f>
        <v>111</v>
      </c>
      <c r="Q345">
        <f>G345*Food_DB!$C$5</f>
        <v>222</v>
      </c>
      <c r="R345">
        <f>H345/100*Food_DB!$C$6</f>
        <v>12</v>
      </c>
      <c r="S345">
        <f>I345/100*Food_DB!$C$7</f>
        <v>62.5</v>
      </c>
      <c r="T345">
        <f>IFERROR(K345/100*VLOOKUP(J345,Food_DB!$A$2:$F$14,3,FALSE),0)</f>
        <v>575</v>
      </c>
      <c r="U345">
        <f>L345*Food_DB!$C$8</f>
        <v>270</v>
      </c>
      <c r="V345">
        <f t="shared" si="20"/>
        <v>1000</v>
      </c>
      <c r="W345">
        <f t="shared" si="21"/>
        <v>2662.5</v>
      </c>
      <c r="X345">
        <f>D345*Food_DB!$D$2+E345/100*Food_DB!$D$3+F345/30*Food_DB!$D$4+G345*Food_DB!$D$5+H345/100*Food_DB!$D$6+I345/100*Food_DB!$D$7+IFERROR(K345/100*VLOOKUP(J345,Food_DB!$A$2:$F$14,4,FALSE),0)+L345*Food_DB!$D$8</f>
        <v>87.999999999999986</v>
      </c>
      <c r="Y345">
        <f>D345*Food_DB!$E$2+E345/100*Food_DB!$E$3+F345/30*Food_DB!$E$4+G345*Food_DB!$E$5+H345/100*Food_DB!$E$6+I345/100*Food_DB!$E$7+IFERROR(K345/100*VLOOKUP(J345,Food_DB!$A$2:$F$14,5,FALSE),0)+L345*Food_DB!$E$8</f>
        <v>68.599999999999994</v>
      </c>
      <c r="Z345">
        <f>D345*Food_DB!$F$2+E345/100*Food_DB!$F$3+F345/30*Food_DB!$F$4+G345*Food_DB!$F$5+H345/100*Food_DB!$F$6+I345/100*Food_DB!$F$7+IFERROR(K345/100*VLOOKUP(J345,Food_DB!$A$2:$F$14,6,FALSE),0)+L345*Food_DB!$F$8</f>
        <v>178.15</v>
      </c>
      <c r="AA345">
        <v>6.5</v>
      </c>
      <c r="AB345">
        <v>30</v>
      </c>
      <c r="AC345">
        <v>0</v>
      </c>
      <c r="AD345">
        <v>0</v>
      </c>
      <c r="AE345">
        <f>Dashboard!$B$6*AA345+Dashboard!$B$6*4*AB345/60+Dashboard!$B$6*8*AC345/120+Dashboard!$B$6*7*AD345</f>
        <v>680</v>
      </c>
      <c r="AF345">
        <f>Dashboard!$B$5</f>
        <v>1700</v>
      </c>
      <c r="AG345">
        <f t="shared" si="22"/>
        <v>2720</v>
      </c>
      <c r="AH345">
        <f t="shared" si="23"/>
        <v>-57.5</v>
      </c>
    </row>
    <row r="346" spans="1:34">
      <c r="A346">
        <v>46522</v>
      </c>
      <c r="B346" t="s">
        <v>83</v>
      </c>
      <c r="C346" t="s">
        <v>84</v>
      </c>
      <c r="D346">
        <v>2</v>
      </c>
      <c r="E346">
        <v>400</v>
      </c>
      <c r="F346">
        <v>30</v>
      </c>
      <c r="G346">
        <v>1</v>
      </c>
      <c r="H346">
        <v>150</v>
      </c>
      <c r="I346">
        <v>250</v>
      </c>
      <c r="J346" t="s">
        <v>82</v>
      </c>
      <c r="K346">
        <v>250</v>
      </c>
      <c r="L346">
        <v>3</v>
      </c>
      <c r="M346">
        <v>0</v>
      </c>
      <c r="N346">
        <f>D346*Food_DB!$C$2</f>
        <v>150</v>
      </c>
      <c r="O346">
        <f>E346/100*Food_DB!$C$3</f>
        <v>260</v>
      </c>
      <c r="P346">
        <f>F346/30*Food_DB!$C$4</f>
        <v>111</v>
      </c>
      <c r="Q346">
        <f>G346*Food_DB!$C$5</f>
        <v>222</v>
      </c>
      <c r="R346">
        <f>H346/100*Food_DB!$C$6</f>
        <v>12</v>
      </c>
      <c r="S346">
        <f>I346/100*Food_DB!$C$7</f>
        <v>62.5</v>
      </c>
      <c r="T346">
        <f>IFERROR(K346/100*VLOOKUP(J346,Food_DB!$A$2:$F$14,3,FALSE),0)</f>
        <v>550</v>
      </c>
      <c r="U346">
        <f>L346*Food_DB!$C$8</f>
        <v>270</v>
      </c>
      <c r="V346">
        <f t="shared" si="20"/>
        <v>0</v>
      </c>
      <c r="W346">
        <f t="shared" si="21"/>
        <v>1637.5</v>
      </c>
      <c r="X346">
        <f>D346*Food_DB!$D$2+E346/100*Food_DB!$D$3+F346/30*Food_DB!$D$4+G346*Food_DB!$D$5+H346/100*Food_DB!$D$6+I346/100*Food_DB!$D$7+IFERROR(K346/100*VLOOKUP(J346,Food_DB!$A$2:$F$14,4,FALSE),0)+L346*Food_DB!$D$8</f>
        <v>92.999999999999986</v>
      </c>
      <c r="Y346">
        <f>D346*Food_DB!$E$2+E346/100*Food_DB!$E$3+F346/30*Food_DB!$E$4+G346*Food_DB!$E$5+H346/100*Food_DB!$E$6+I346/100*Food_DB!$E$7+IFERROR(K346/100*VLOOKUP(J346,Food_DB!$A$2:$F$14,5,FALSE),0)+L346*Food_DB!$E$8</f>
        <v>63.6</v>
      </c>
      <c r="Z346">
        <f>D346*Food_DB!$F$2+E346/100*Food_DB!$F$3+F346/30*Food_DB!$F$4+G346*Food_DB!$F$5+H346/100*Food_DB!$F$6+I346/100*Food_DB!$F$7+IFERROR(K346/100*VLOOKUP(J346,Food_DB!$A$2:$F$14,6,FALSE),0)+L346*Food_DB!$F$8</f>
        <v>178.15</v>
      </c>
      <c r="AA346">
        <v>0</v>
      </c>
      <c r="AB346">
        <v>0</v>
      </c>
      <c r="AC346">
        <v>0</v>
      </c>
      <c r="AD346">
        <v>3.5</v>
      </c>
      <c r="AE346">
        <f>Dashboard!$B$6*AA346+Dashboard!$B$6*4*AB346/60+Dashboard!$B$6*8*AC346/120+Dashboard!$B$6*7*AD346</f>
        <v>1960</v>
      </c>
      <c r="AF346">
        <f>Dashboard!$B$5</f>
        <v>1700</v>
      </c>
      <c r="AG346">
        <f t="shared" si="22"/>
        <v>4000</v>
      </c>
      <c r="AH346">
        <f t="shared" si="23"/>
        <v>-2362.5</v>
      </c>
    </row>
    <row r="347" spans="1:34">
      <c r="A347">
        <v>46523</v>
      </c>
      <c r="B347" t="s">
        <v>86</v>
      </c>
      <c r="C347" t="s">
        <v>84</v>
      </c>
      <c r="D347">
        <v>2</v>
      </c>
      <c r="E347">
        <v>400</v>
      </c>
      <c r="F347">
        <v>30</v>
      </c>
      <c r="G347">
        <v>1</v>
      </c>
      <c r="H347">
        <v>150</v>
      </c>
      <c r="I347">
        <v>250</v>
      </c>
      <c r="J347" t="s">
        <v>85</v>
      </c>
      <c r="K347">
        <v>250</v>
      </c>
      <c r="L347">
        <v>3</v>
      </c>
      <c r="M347">
        <v>0</v>
      </c>
      <c r="N347">
        <f>D347*Food_DB!$C$2</f>
        <v>150</v>
      </c>
      <c r="O347">
        <f>E347/100*Food_DB!$C$3</f>
        <v>260</v>
      </c>
      <c r="P347">
        <f>F347/30*Food_DB!$C$4</f>
        <v>111</v>
      </c>
      <c r="Q347">
        <f>G347*Food_DB!$C$5</f>
        <v>222</v>
      </c>
      <c r="R347">
        <f>H347/100*Food_DB!$C$6</f>
        <v>12</v>
      </c>
      <c r="S347">
        <f>I347/100*Food_DB!$C$7</f>
        <v>62.5</v>
      </c>
      <c r="T347">
        <f>IFERROR(K347/100*VLOOKUP(J347,Food_DB!$A$2:$F$14,3,FALSE),0)</f>
        <v>450</v>
      </c>
      <c r="U347">
        <f>L347*Food_DB!$C$8</f>
        <v>270</v>
      </c>
      <c r="V347">
        <f t="shared" si="20"/>
        <v>0</v>
      </c>
      <c r="W347">
        <f t="shared" si="21"/>
        <v>1537.5</v>
      </c>
      <c r="X347">
        <f>D347*Food_DB!$D$2+E347/100*Food_DB!$D$3+F347/30*Food_DB!$D$4+G347*Food_DB!$D$5+H347/100*Food_DB!$D$6+I347/100*Food_DB!$D$7+IFERROR(K347/100*VLOOKUP(J347,Food_DB!$A$2:$F$14,4,FALSE),0)+L347*Food_DB!$D$8</f>
        <v>92.999999999999986</v>
      </c>
      <c r="Y347">
        <f>D347*Food_DB!$E$2+E347/100*Food_DB!$E$3+F347/30*Food_DB!$E$4+G347*Food_DB!$E$5+H347/100*Food_DB!$E$6+I347/100*Food_DB!$E$7+IFERROR(K347/100*VLOOKUP(J347,Food_DB!$A$2:$F$14,5,FALSE),0)+L347*Food_DB!$E$8</f>
        <v>51.1</v>
      </c>
      <c r="Z347">
        <f>D347*Food_DB!$F$2+E347/100*Food_DB!$F$3+F347/30*Food_DB!$F$4+G347*Food_DB!$F$5+H347/100*Food_DB!$F$6+I347/100*Food_DB!$F$7+IFERROR(K347/100*VLOOKUP(J347,Food_DB!$A$2:$F$14,6,FALSE),0)+L347*Food_DB!$F$8</f>
        <v>178.15</v>
      </c>
      <c r="AA347">
        <v>0</v>
      </c>
      <c r="AB347">
        <v>0</v>
      </c>
      <c r="AC347">
        <v>0</v>
      </c>
      <c r="AD347">
        <v>3.5</v>
      </c>
      <c r="AE347">
        <f>Dashboard!$B$6*AA347+Dashboard!$B$6*4*AB347/60+Dashboard!$B$6*8*AC347/120+Dashboard!$B$6*7*AD347</f>
        <v>1960</v>
      </c>
      <c r="AF347">
        <f>Dashboard!$B$5</f>
        <v>1700</v>
      </c>
      <c r="AG347">
        <f t="shared" si="22"/>
        <v>4000</v>
      </c>
      <c r="AH347">
        <f t="shared" si="23"/>
        <v>-2462.5</v>
      </c>
    </row>
    <row r="348" spans="1:34">
      <c r="A348">
        <v>46524</v>
      </c>
      <c r="B348" t="s">
        <v>88</v>
      </c>
      <c r="C348" t="s">
        <v>89</v>
      </c>
      <c r="D348">
        <v>2</v>
      </c>
      <c r="E348">
        <v>400</v>
      </c>
      <c r="F348">
        <v>30</v>
      </c>
      <c r="G348">
        <v>1</v>
      </c>
      <c r="H348">
        <v>150</v>
      </c>
      <c r="I348">
        <v>250</v>
      </c>
      <c r="J348" t="s">
        <v>87</v>
      </c>
      <c r="K348">
        <v>250</v>
      </c>
      <c r="L348">
        <v>3</v>
      </c>
      <c r="M348">
        <v>0</v>
      </c>
      <c r="N348">
        <f>D348*Food_DB!$C$2</f>
        <v>150</v>
      </c>
      <c r="O348">
        <f>E348/100*Food_DB!$C$3</f>
        <v>260</v>
      </c>
      <c r="P348">
        <f>F348/30*Food_DB!$C$4</f>
        <v>111</v>
      </c>
      <c r="Q348">
        <f>G348*Food_DB!$C$5</f>
        <v>222</v>
      </c>
      <c r="R348">
        <f>H348/100*Food_DB!$C$6</f>
        <v>12</v>
      </c>
      <c r="S348">
        <f>I348/100*Food_DB!$C$7</f>
        <v>62.5</v>
      </c>
      <c r="T348">
        <f>IFERROR(K348/100*VLOOKUP(J348,Food_DB!$A$2:$F$14,3,FALSE),0)</f>
        <v>300</v>
      </c>
      <c r="U348">
        <f>L348*Food_DB!$C$8</f>
        <v>270</v>
      </c>
      <c r="V348">
        <f t="shared" si="20"/>
        <v>0</v>
      </c>
      <c r="W348">
        <f t="shared" si="21"/>
        <v>1387.5</v>
      </c>
      <c r="X348">
        <f>D348*Food_DB!$D$2+E348/100*Food_DB!$D$3+F348/30*Food_DB!$D$4+G348*Food_DB!$D$5+H348/100*Food_DB!$D$6+I348/100*Food_DB!$D$7+IFERROR(K348/100*VLOOKUP(J348,Food_DB!$A$2:$F$14,4,FALSE),0)+L348*Food_DB!$D$8</f>
        <v>100.49999999999999</v>
      </c>
      <c r="Y348">
        <f>D348*Food_DB!$E$2+E348/100*Food_DB!$E$3+F348/30*Food_DB!$E$4+G348*Food_DB!$E$5+H348/100*Food_DB!$E$6+I348/100*Food_DB!$E$7+IFERROR(K348/100*VLOOKUP(J348,Food_DB!$A$2:$F$14,5,FALSE),0)+L348*Food_DB!$E$8</f>
        <v>32.35</v>
      </c>
      <c r="Z348">
        <f>D348*Food_DB!$F$2+E348/100*Food_DB!$F$3+F348/30*Food_DB!$F$4+G348*Food_DB!$F$5+H348/100*Food_DB!$F$6+I348/100*Food_DB!$F$7+IFERROR(K348/100*VLOOKUP(J348,Food_DB!$A$2:$F$14,6,FALSE),0)+L348*Food_DB!$F$8</f>
        <v>178.15</v>
      </c>
      <c r="AA348">
        <v>6.5</v>
      </c>
      <c r="AB348">
        <v>30</v>
      </c>
      <c r="AC348">
        <v>0</v>
      </c>
      <c r="AD348">
        <v>0</v>
      </c>
      <c r="AE348">
        <f>Dashboard!$B$6*AA348+Dashboard!$B$6*4*AB348/60+Dashboard!$B$6*8*AC348/120+Dashboard!$B$6*7*AD348</f>
        <v>680</v>
      </c>
      <c r="AF348">
        <f>Dashboard!$B$5</f>
        <v>1700</v>
      </c>
      <c r="AG348">
        <f t="shared" si="22"/>
        <v>2720</v>
      </c>
      <c r="AH348">
        <f t="shared" si="23"/>
        <v>-1332.5</v>
      </c>
    </row>
    <row r="349" spans="1:34">
      <c r="A349">
        <v>46525</v>
      </c>
      <c r="B349" t="s">
        <v>91</v>
      </c>
      <c r="C349" t="s">
        <v>89</v>
      </c>
      <c r="D349">
        <v>2</v>
      </c>
      <c r="E349">
        <v>400</v>
      </c>
      <c r="F349">
        <v>30</v>
      </c>
      <c r="G349">
        <v>1</v>
      </c>
      <c r="H349">
        <v>150</v>
      </c>
      <c r="I349">
        <v>250</v>
      </c>
      <c r="J349" t="s">
        <v>90</v>
      </c>
      <c r="K349">
        <v>250</v>
      </c>
      <c r="L349">
        <v>3</v>
      </c>
      <c r="M349">
        <v>0</v>
      </c>
      <c r="N349">
        <f>D349*Food_DB!$C$2</f>
        <v>150</v>
      </c>
      <c r="O349">
        <f>E349/100*Food_DB!$C$3</f>
        <v>260</v>
      </c>
      <c r="P349">
        <f>F349/30*Food_DB!$C$4</f>
        <v>111</v>
      </c>
      <c r="Q349">
        <f>G349*Food_DB!$C$5</f>
        <v>222</v>
      </c>
      <c r="R349">
        <f>H349/100*Food_DB!$C$6</f>
        <v>12</v>
      </c>
      <c r="S349">
        <f>I349/100*Food_DB!$C$7</f>
        <v>62.5</v>
      </c>
      <c r="T349">
        <f>IFERROR(K349/100*VLOOKUP(J349,Food_DB!$A$2:$F$14,3,FALSE),0)</f>
        <v>575</v>
      </c>
      <c r="U349">
        <f>L349*Food_DB!$C$8</f>
        <v>270</v>
      </c>
      <c r="V349">
        <f t="shared" si="20"/>
        <v>0</v>
      </c>
      <c r="W349">
        <f t="shared" si="21"/>
        <v>1662.5</v>
      </c>
      <c r="X349">
        <f>D349*Food_DB!$D$2+E349/100*Food_DB!$D$3+F349/30*Food_DB!$D$4+G349*Food_DB!$D$5+H349/100*Food_DB!$D$6+I349/100*Food_DB!$D$7+IFERROR(K349/100*VLOOKUP(J349,Food_DB!$A$2:$F$14,4,FALSE),0)+L349*Food_DB!$D$8</f>
        <v>87.999999999999986</v>
      </c>
      <c r="Y349">
        <f>D349*Food_DB!$E$2+E349/100*Food_DB!$E$3+F349/30*Food_DB!$E$4+G349*Food_DB!$E$5+H349/100*Food_DB!$E$6+I349/100*Food_DB!$E$7+IFERROR(K349/100*VLOOKUP(J349,Food_DB!$A$2:$F$14,5,FALSE),0)+L349*Food_DB!$E$8</f>
        <v>68.599999999999994</v>
      </c>
      <c r="Z349">
        <f>D349*Food_DB!$F$2+E349/100*Food_DB!$F$3+F349/30*Food_DB!$F$4+G349*Food_DB!$F$5+H349/100*Food_DB!$F$6+I349/100*Food_DB!$F$7+IFERROR(K349/100*VLOOKUP(J349,Food_DB!$A$2:$F$14,6,FALSE),0)+L349*Food_DB!$F$8</f>
        <v>178.15</v>
      </c>
      <c r="AA349">
        <v>6.5</v>
      </c>
      <c r="AB349">
        <v>30</v>
      </c>
      <c r="AC349">
        <v>0</v>
      </c>
      <c r="AD349">
        <v>0</v>
      </c>
      <c r="AE349">
        <f>Dashboard!$B$6*AA349+Dashboard!$B$6*4*AB349/60+Dashboard!$B$6*8*AC349/120+Dashboard!$B$6*7*AD349</f>
        <v>680</v>
      </c>
      <c r="AF349">
        <f>Dashboard!$B$5</f>
        <v>1700</v>
      </c>
      <c r="AG349">
        <f t="shared" si="22"/>
        <v>2720</v>
      </c>
      <c r="AH349">
        <f t="shared" si="23"/>
        <v>-1057.5</v>
      </c>
    </row>
    <row r="350" spans="1:34">
      <c r="A350">
        <v>46526</v>
      </c>
      <c r="B350" t="s">
        <v>92</v>
      </c>
      <c r="C350" t="s">
        <v>89</v>
      </c>
      <c r="D350">
        <v>2</v>
      </c>
      <c r="E350">
        <v>400</v>
      </c>
      <c r="F350">
        <v>30</v>
      </c>
      <c r="G350">
        <v>1</v>
      </c>
      <c r="H350">
        <v>150</v>
      </c>
      <c r="I350">
        <v>250</v>
      </c>
      <c r="J350" t="s">
        <v>82</v>
      </c>
      <c r="K350">
        <v>250</v>
      </c>
      <c r="L350">
        <v>3</v>
      </c>
      <c r="M350">
        <v>0</v>
      </c>
      <c r="N350">
        <f>D350*Food_DB!$C$2</f>
        <v>150</v>
      </c>
      <c r="O350">
        <f>E350/100*Food_DB!$C$3</f>
        <v>260</v>
      </c>
      <c r="P350">
        <f>F350/30*Food_DB!$C$4</f>
        <v>111</v>
      </c>
      <c r="Q350">
        <f>G350*Food_DB!$C$5</f>
        <v>222</v>
      </c>
      <c r="R350">
        <f>H350/100*Food_DB!$C$6</f>
        <v>12</v>
      </c>
      <c r="S350">
        <f>I350/100*Food_DB!$C$7</f>
        <v>62.5</v>
      </c>
      <c r="T350">
        <f>IFERROR(K350/100*VLOOKUP(J350,Food_DB!$A$2:$F$14,3,FALSE),0)</f>
        <v>550</v>
      </c>
      <c r="U350">
        <f>L350*Food_DB!$C$8</f>
        <v>270</v>
      </c>
      <c r="V350">
        <f t="shared" si="20"/>
        <v>0</v>
      </c>
      <c r="W350">
        <f t="shared" si="21"/>
        <v>1637.5</v>
      </c>
      <c r="X350">
        <f>D350*Food_DB!$D$2+E350/100*Food_DB!$D$3+F350/30*Food_DB!$D$4+G350*Food_DB!$D$5+H350/100*Food_DB!$D$6+I350/100*Food_DB!$D$7+IFERROR(K350/100*VLOOKUP(J350,Food_DB!$A$2:$F$14,4,FALSE),0)+L350*Food_DB!$D$8</f>
        <v>92.999999999999986</v>
      </c>
      <c r="Y350">
        <f>D350*Food_DB!$E$2+E350/100*Food_DB!$E$3+F350/30*Food_DB!$E$4+G350*Food_DB!$E$5+H350/100*Food_DB!$E$6+I350/100*Food_DB!$E$7+IFERROR(K350/100*VLOOKUP(J350,Food_DB!$A$2:$F$14,5,FALSE),0)+L350*Food_DB!$E$8</f>
        <v>63.6</v>
      </c>
      <c r="Z350">
        <f>D350*Food_DB!$F$2+E350/100*Food_DB!$F$3+F350/30*Food_DB!$F$4+G350*Food_DB!$F$5+H350/100*Food_DB!$F$6+I350/100*Food_DB!$F$7+IFERROR(K350/100*VLOOKUP(J350,Food_DB!$A$2:$F$14,6,FALSE),0)+L350*Food_DB!$F$8</f>
        <v>178.15</v>
      </c>
      <c r="AA350">
        <v>6.5</v>
      </c>
      <c r="AB350">
        <v>30</v>
      </c>
      <c r="AC350">
        <v>0</v>
      </c>
      <c r="AD350">
        <v>0</v>
      </c>
      <c r="AE350">
        <f>Dashboard!$B$6*AA350+Dashboard!$B$6*4*AB350/60+Dashboard!$B$6*8*AC350/120+Dashboard!$B$6*7*AD350</f>
        <v>680</v>
      </c>
      <c r="AF350">
        <f>Dashboard!$B$5</f>
        <v>1700</v>
      </c>
      <c r="AG350">
        <f t="shared" si="22"/>
        <v>2720</v>
      </c>
      <c r="AH350">
        <f t="shared" si="23"/>
        <v>-1082.5</v>
      </c>
    </row>
    <row r="351" spans="1:34">
      <c r="A351">
        <v>46527</v>
      </c>
      <c r="B351" t="s">
        <v>93</v>
      </c>
      <c r="C351" t="s">
        <v>89</v>
      </c>
      <c r="D351">
        <v>2</v>
      </c>
      <c r="E351">
        <v>400</v>
      </c>
      <c r="F351">
        <v>30</v>
      </c>
      <c r="G351">
        <v>1</v>
      </c>
      <c r="H351">
        <v>150</v>
      </c>
      <c r="I351">
        <v>250</v>
      </c>
      <c r="J351" t="s">
        <v>85</v>
      </c>
      <c r="K351">
        <v>250</v>
      </c>
      <c r="L351">
        <v>3</v>
      </c>
      <c r="M351">
        <v>0</v>
      </c>
      <c r="N351">
        <f>D351*Food_DB!$C$2</f>
        <v>150</v>
      </c>
      <c r="O351">
        <f>E351/100*Food_DB!$C$3</f>
        <v>260</v>
      </c>
      <c r="P351">
        <f>F351/30*Food_DB!$C$4</f>
        <v>111</v>
      </c>
      <c r="Q351">
        <f>G351*Food_DB!$C$5</f>
        <v>222</v>
      </c>
      <c r="R351">
        <f>H351/100*Food_DB!$C$6</f>
        <v>12</v>
      </c>
      <c r="S351">
        <f>I351/100*Food_DB!$C$7</f>
        <v>62.5</v>
      </c>
      <c r="T351">
        <f>IFERROR(K351/100*VLOOKUP(J351,Food_DB!$A$2:$F$14,3,FALSE),0)</f>
        <v>450</v>
      </c>
      <c r="U351">
        <f>L351*Food_DB!$C$8</f>
        <v>270</v>
      </c>
      <c r="V351">
        <f t="shared" si="20"/>
        <v>0</v>
      </c>
      <c r="W351">
        <f t="shared" si="21"/>
        <v>1537.5</v>
      </c>
      <c r="X351">
        <f>D351*Food_DB!$D$2+E351/100*Food_DB!$D$3+F351/30*Food_DB!$D$4+G351*Food_DB!$D$5+H351/100*Food_DB!$D$6+I351/100*Food_DB!$D$7+IFERROR(K351/100*VLOOKUP(J351,Food_DB!$A$2:$F$14,4,FALSE),0)+L351*Food_DB!$D$8</f>
        <v>92.999999999999986</v>
      </c>
      <c r="Y351">
        <f>D351*Food_DB!$E$2+E351/100*Food_DB!$E$3+F351/30*Food_DB!$E$4+G351*Food_DB!$E$5+H351/100*Food_DB!$E$6+I351/100*Food_DB!$E$7+IFERROR(K351/100*VLOOKUP(J351,Food_DB!$A$2:$F$14,5,FALSE),0)+L351*Food_DB!$E$8</f>
        <v>51.1</v>
      </c>
      <c r="Z351">
        <f>D351*Food_DB!$F$2+E351/100*Food_DB!$F$3+F351/30*Food_DB!$F$4+G351*Food_DB!$F$5+H351/100*Food_DB!$F$6+I351/100*Food_DB!$F$7+IFERROR(K351/100*VLOOKUP(J351,Food_DB!$A$2:$F$14,6,FALSE),0)+L351*Food_DB!$F$8</f>
        <v>178.15</v>
      </c>
      <c r="AA351">
        <v>6.5</v>
      </c>
      <c r="AB351">
        <v>30</v>
      </c>
      <c r="AC351">
        <v>0</v>
      </c>
      <c r="AD351">
        <v>0</v>
      </c>
      <c r="AE351">
        <f>Dashboard!$B$6*AA351+Dashboard!$B$6*4*AB351/60+Dashboard!$B$6*8*AC351/120+Dashboard!$B$6*7*AD351</f>
        <v>680</v>
      </c>
      <c r="AF351">
        <f>Dashboard!$B$5</f>
        <v>1700</v>
      </c>
      <c r="AG351">
        <f t="shared" si="22"/>
        <v>2720</v>
      </c>
      <c r="AH351">
        <f t="shared" si="23"/>
        <v>-1182.5</v>
      </c>
    </row>
    <row r="352" spans="1:34">
      <c r="A352">
        <v>46528</v>
      </c>
      <c r="B352" t="s">
        <v>80</v>
      </c>
      <c r="C352" t="s">
        <v>81</v>
      </c>
      <c r="D352">
        <v>2</v>
      </c>
      <c r="E352">
        <v>400</v>
      </c>
      <c r="F352">
        <v>30</v>
      </c>
      <c r="G352">
        <v>1</v>
      </c>
      <c r="H352">
        <v>150</v>
      </c>
      <c r="I352">
        <v>250</v>
      </c>
      <c r="J352" t="s">
        <v>87</v>
      </c>
      <c r="K352">
        <v>250</v>
      </c>
      <c r="L352">
        <v>3</v>
      </c>
      <c r="M352">
        <v>1000</v>
      </c>
      <c r="N352">
        <f>D352*Food_DB!$C$2</f>
        <v>150</v>
      </c>
      <c r="O352">
        <f>E352/100*Food_DB!$C$3</f>
        <v>260</v>
      </c>
      <c r="P352">
        <f>F352/30*Food_DB!$C$4</f>
        <v>111</v>
      </c>
      <c r="Q352">
        <f>G352*Food_DB!$C$5</f>
        <v>222</v>
      </c>
      <c r="R352">
        <f>H352/100*Food_DB!$C$6</f>
        <v>12</v>
      </c>
      <c r="S352">
        <f>I352/100*Food_DB!$C$7</f>
        <v>62.5</v>
      </c>
      <c r="T352">
        <f>IFERROR(K352/100*VLOOKUP(J352,Food_DB!$A$2:$F$14,3,FALSE),0)</f>
        <v>300</v>
      </c>
      <c r="U352">
        <f>L352*Food_DB!$C$8</f>
        <v>270</v>
      </c>
      <c r="V352">
        <f t="shared" si="20"/>
        <v>1000</v>
      </c>
      <c r="W352">
        <f t="shared" si="21"/>
        <v>2387.5</v>
      </c>
      <c r="X352">
        <f>D352*Food_DB!$D$2+E352/100*Food_DB!$D$3+F352/30*Food_DB!$D$4+G352*Food_DB!$D$5+H352/100*Food_DB!$D$6+I352/100*Food_DB!$D$7+IFERROR(K352/100*VLOOKUP(J352,Food_DB!$A$2:$F$14,4,FALSE),0)+L352*Food_DB!$D$8</f>
        <v>100.49999999999999</v>
      </c>
      <c r="Y352">
        <f>D352*Food_DB!$E$2+E352/100*Food_DB!$E$3+F352/30*Food_DB!$E$4+G352*Food_DB!$E$5+H352/100*Food_DB!$E$6+I352/100*Food_DB!$E$7+IFERROR(K352/100*VLOOKUP(J352,Food_DB!$A$2:$F$14,5,FALSE),0)+L352*Food_DB!$E$8</f>
        <v>32.35</v>
      </c>
      <c r="Z352">
        <f>D352*Food_DB!$F$2+E352/100*Food_DB!$F$3+F352/30*Food_DB!$F$4+G352*Food_DB!$F$5+H352/100*Food_DB!$F$6+I352/100*Food_DB!$F$7+IFERROR(K352/100*VLOOKUP(J352,Food_DB!$A$2:$F$14,6,FALSE),0)+L352*Food_DB!$F$8</f>
        <v>178.15</v>
      </c>
      <c r="AA352">
        <v>6.5</v>
      </c>
      <c r="AB352">
        <v>30</v>
      </c>
      <c r="AC352">
        <v>0</v>
      </c>
      <c r="AD352">
        <v>0</v>
      </c>
      <c r="AE352">
        <f>Dashboard!$B$6*AA352+Dashboard!$B$6*4*AB352/60+Dashboard!$B$6*8*AC352/120+Dashboard!$B$6*7*AD352</f>
        <v>680</v>
      </c>
      <c r="AF352">
        <f>Dashboard!$B$5</f>
        <v>1700</v>
      </c>
      <c r="AG352">
        <f t="shared" si="22"/>
        <v>2720</v>
      </c>
      <c r="AH352">
        <f t="shared" si="23"/>
        <v>-332.5</v>
      </c>
    </row>
    <row r="353" spans="1:34">
      <c r="A353">
        <v>46529</v>
      </c>
      <c r="B353" t="s">
        <v>83</v>
      </c>
      <c r="C353" t="s">
        <v>84</v>
      </c>
      <c r="D353">
        <v>2</v>
      </c>
      <c r="E353">
        <v>400</v>
      </c>
      <c r="F353">
        <v>30</v>
      </c>
      <c r="G353">
        <v>1</v>
      </c>
      <c r="H353">
        <v>150</v>
      </c>
      <c r="I353">
        <v>250</v>
      </c>
      <c r="J353" t="s">
        <v>90</v>
      </c>
      <c r="K353">
        <v>250</v>
      </c>
      <c r="L353">
        <v>3</v>
      </c>
      <c r="M353">
        <v>0</v>
      </c>
      <c r="N353">
        <f>D353*Food_DB!$C$2</f>
        <v>150</v>
      </c>
      <c r="O353">
        <f>E353/100*Food_DB!$C$3</f>
        <v>260</v>
      </c>
      <c r="P353">
        <f>F353/30*Food_DB!$C$4</f>
        <v>111</v>
      </c>
      <c r="Q353">
        <f>G353*Food_DB!$C$5</f>
        <v>222</v>
      </c>
      <c r="R353">
        <f>H353/100*Food_DB!$C$6</f>
        <v>12</v>
      </c>
      <c r="S353">
        <f>I353/100*Food_DB!$C$7</f>
        <v>62.5</v>
      </c>
      <c r="T353">
        <f>IFERROR(K353/100*VLOOKUP(J353,Food_DB!$A$2:$F$14,3,FALSE),0)</f>
        <v>575</v>
      </c>
      <c r="U353">
        <f>L353*Food_DB!$C$8</f>
        <v>270</v>
      </c>
      <c r="V353">
        <f t="shared" si="20"/>
        <v>0</v>
      </c>
      <c r="W353">
        <f t="shared" si="21"/>
        <v>1662.5</v>
      </c>
      <c r="X353">
        <f>D353*Food_DB!$D$2+E353/100*Food_DB!$D$3+F353/30*Food_DB!$D$4+G353*Food_DB!$D$5+H353/100*Food_DB!$D$6+I353/100*Food_DB!$D$7+IFERROR(K353/100*VLOOKUP(J353,Food_DB!$A$2:$F$14,4,FALSE),0)+L353*Food_DB!$D$8</f>
        <v>87.999999999999986</v>
      </c>
      <c r="Y353">
        <f>D353*Food_DB!$E$2+E353/100*Food_DB!$E$3+F353/30*Food_DB!$E$4+G353*Food_DB!$E$5+H353/100*Food_DB!$E$6+I353/100*Food_DB!$E$7+IFERROR(K353/100*VLOOKUP(J353,Food_DB!$A$2:$F$14,5,FALSE),0)+L353*Food_DB!$E$8</f>
        <v>68.599999999999994</v>
      </c>
      <c r="Z353">
        <f>D353*Food_DB!$F$2+E353/100*Food_DB!$F$3+F353/30*Food_DB!$F$4+G353*Food_DB!$F$5+H353/100*Food_DB!$F$6+I353/100*Food_DB!$F$7+IFERROR(K353/100*VLOOKUP(J353,Food_DB!$A$2:$F$14,6,FALSE),0)+L353*Food_DB!$F$8</f>
        <v>178.15</v>
      </c>
      <c r="AA353">
        <v>0</v>
      </c>
      <c r="AB353">
        <v>0</v>
      </c>
      <c r="AC353">
        <v>0</v>
      </c>
      <c r="AD353">
        <v>3.5</v>
      </c>
      <c r="AE353">
        <f>Dashboard!$B$6*AA353+Dashboard!$B$6*4*AB353/60+Dashboard!$B$6*8*AC353/120+Dashboard!$B$6*7*AD353</f>
        <v>1960</v>
      </c>
      <c r="AF353">
        <f>Dashboard!$B$5</f>
        <v>1700</v>
      </c>
      <c r="AG353">
        <f t="shared" si="22"/>
        <v>4000</v>
      </c>
      <c r="AH353">
        <f t="shared" si="23"/>
        <v>-2337.5</v>
      </c>
    </row>
    <row r="354" spans="1:34">
      <c r="A354">
        <v>46530</v>
      </c>
      <c r="B354" t="s">
        <v>86</v>
      </c>
      <c r="C354" t="s">
        <v>84</v>
      </c>
      <c r="D354">
        <v>2</v>
      </c>
      <c r="E354">
        <v>400</v>
      </c>
      <c r="F354">
        <v>30</v>
      </c>
      <c r="G354">
        <v>1</v>
      </c>
      <c r="H354">
        <v>150</v>
      </c>
      <c r="I354">
        <v>250</v>
      </c>
      <c r="J354" t="s">
        <v>82</v>
      </c>
      <c r="K354">
        <v>250</v>
      </c>
      <c r="L354">
        <v>3</v>
      </c>
      <c r="M354">
        <v>0</v>
      </c>
      <c r="N354">
        <f>D354*Food_DB!$C$2</f>
        <v>150</v>
      </c>
      <c r="O354">
        <f>E354/100*Food_DB!$C$3</f>
        <v>260</v>
      </c>
      <c r="P354">
        <f>F354/30*Food_DB!$C$4</f>
        <v>111</v>
      </c>
      <c r="Q354">
        <f>G354*Food_DB!$C$5</f>
        <v>222</v>
      </c>
      <c r="R354">
        <f>H354/100*Food_DB!$C$6</f>
        <v>12</v>
      </c>
      <c r="S354">
        <f>I354/100*Food_DB!$C$7</f>
        <v>62.5</v>
      </c>
      <c r="T354">
        <f>IFERROR(K354/100*VLOOKUP(J354,Food_DB!$A$2:$F$14,3,FALSE),0)</f>
        <v>550</v>
      </c>
      <c r="U354">
        <f>L354*Food_DB!$C$8</f>
        <v>270</v>
      </c>
      <c r="V354">
        <f t="shared" si="20"/>
        <v>0</v>
      </c>
      <c r="W354">
        <f t="shared" si="21"/>
        <v>1637.5</v>
      </c>
      <c r="X354">
        <f>D354*Food_DB!$D$2+E354/100*Food_DB!$D$3+F354/30*Food_DB!$D$4+G354*Food_DB!$D$5+H354/100*Food_DB!$D$6+I354/100*Food_DB!$D$7+IFERROR(K354/100*VLOOKUP(J354,Food_DB!$A$2:$F$14,4,FALSE),0)+L354*Food_DB!$D$8</f>
        <v>92.999999999999986</v>
      </c>
      <c r="Y354">
        <f>D354*Food_DB!$E$2+E354/100*Food_DB!$E$3+F354/30*Food_DB!$E$4+G354*Food_DB!$E$5+H354/100*Food_DB!$E$6+I354/100*Food_DB!$E$7+IFERROR(K354/100*VLOOKUP(J354,Food_DB!$A$2:$F$14,5,FALSE),0)+L354*Food_DB!$E$8</f>
        <v>63.6</v>
      </c>
      <c r="Z354">
        <f>D354*Food_DB!$F$2+E354/100*Food_DB!$F$3+F354/30*Food_DB!$F$4+G354*Food_DB!$F$5+H354/100*Food_DB!$F$6+I354/100*Food_DB!$F$7+IFERROR(K354/100*VLOOKUP(J354,Food_DB!$A$2:$F$14,6,FALSE),0)+L354*Food_DB!$F$8</f>
        <v>178.15</v>
      </c>
      <c r="AA354">
        <v>0</v>
      </c>
      <c r="AB354">
        <v>0</v>
      </c>
      <c r="AC354">
        <v>0</v>
      </c>
      <c r="AD354">
        <v>3.5</v>
      </c>
      <c r="AE354">
        <f>Dashboard!$B$6*AA354+Dashboard!$B$6*4*AB354/60+Dashboard!$B$6*8*AC354/120+Dashboard!$B$6*7*AD354</f>
        <v>1960</v>
      </c>
      <c r="AF354">
        <f>Dashboard!$B$5</f>
        <v>1700</v>
      </c>
      <c r="AG354">
        <f t="shared" si="22"/>
        <v>4000</v>
      </c>
      <c r="AH354">
        <f t="shared" si="23"/>
        <v>-2362.5</v>
      </c>
    </row>
    <row r="355" spans="1:34">
      <c r="A355">
        <v>46531</v>
      </c>
      <c r="B355" t="s">
        <v>88</v>
      </c>
      <c r="C355" t="s">
        <v>89</v>
      </c>
      <c r="D355">
        <v>2</v>
      </c>
      <c r="E355">
        <v>400</v>
      </c>
      <c r="F355">
        <v>30</v>
      </c>
      <c r="G355">
        <v>1</v>
      </c>
      <c r="H355">
        <v>150</v>
      </c>
      <c r="I355">
        <v>250</v>
      </c>
      <c r="J355" t="s">
        <v>85</v>
      </c>
      <c r="K355">
        <v>250</v>
      </c>
      <c r="L355">
        <v>3</v>
      </c>
      <c r="M355">
        <v>0</v>
      </c>
      <c r="N355">
        <f>D355*Food_DB!$C$2</f>
        <v>150</v>
      </c>
      <c r="O355">
        <f>E355/100*Food_DB!$C$3</f>
        <v>260</v>
      </c>
      <c r="P355">
        <f>F355/30*Food_DB!$C$4</f>
        <v>111</v>
      </c>
      <c r="Q355">
        <f>G355*Food_DB!$C$5</f>
        <v>222</v>
      </c>
      <c r="R355">
        <f>H355/100*Food_DB!$C$6</f>
        <v>12</v>
      </c>
      <c r="S355">
        <f>I355/100*Food_DB!$C$7</f>
        <v>62.5</v>
      </c>
      <c r="T355">
        <f>IFERROR(K355/100*VLOOKUP(J355,Food_DB!$A$2:$F$14,3,FALSE),0)</f>
        <v>450</v>
      </c>
      <c r="U355">
        <f>L355*Food_DB!$C$8</f>
        <v>270</v>
      </c>
      <c r="V355">
        <f t="shared" si="20"/>
        <v>0</v>
      </c>
      <c r="W355">
        <f t="shared" si="21"/>
        <v>1537.5</v>
      </c>
      <c r="X355">
        <f>D355*Food_DB!$D$2+E355/100*Food_DB!$D$3+F355/30*Food_DB!$D$4+G355*Food_DB!$D$5+H355/100*Food_DB!$D$6+I355/100*Food_DB!$D$7+IFERROR(K355/100*VLOOKUP(J355,Food_DB!$A$2:$F$14,4,FALSE),0)+L355*Food_DB!$D$8</f>
        <v>92.999999999999986</v>
      </c>
      <c r="Y355">
        <f>D355*Food_DB!$E$2+E355/100*Food_DB!$E$3+F355/30*Food_DB!$E$4+G355*Food_DB!$E$5+H355/100*Food_DB!$E$6+I355/100*Food_DB!$E$7+IFERROR(K355/100*VLOOKUP(J355,Food_DB!$A$2:$F$14,5,FALSE),0)+L355*Food_DB!$E$8</f>
        <v>51.1</v>
      </c>
      <c r="Z355">
        <f>D355*Food_DB!$F$2+E355/100*Food_DB!$F$3+F355/30*Food_DB!$F$4+G355*Food_DB!$F$5+H355/100*Food_DB!$F$6+I355/100*Food_DB!$F$7+IFERROR(K355/100*VLOOKUP(J355,Food_DB!$A$2:$F$14,6,FALSE),0)+L355*Food_DB!$F$8</f>
        <v>178.15</v>
      </c>
      <c r="AA355">
        <v>6.5</v>
      </c>
      <c r="AB355">
        <v>30</v>
      </c>
      <c r="AC355">
        <v>0</v>
      </c>
      <c r="AD355">
        <v>0</v>
      </c>
      <c r="AE355">
        <f>Dashboard!$B$6*AA355+Dashboard!$B$6*4*AB355/60+Dashboard!$B$6*8*AC355/120+Dashboard!$B$6*7*AD355</f>
        <v>680</v>
      </c>
      <c r="AF355">
        <f>Dashboard!$B$5</f>
        <v>1700</v>
      </c>
      <c r="AG355">
        <f t="shared" si="22"/>
        <v>2720</v>
      </c>
      <c r="AH355">
        <f t="shared" si="23"/>
        <v>-1182.5</v>
      </c>
    </row>
    <row r="356" spans="1:34">
      <c r="A356">
        <v>46532</v>
      </c>
      <c r="B356" t="s">
        <v>91</v>
      </c>
      <c r="C356" t="s">
        <v>89</v>
      </c>
      <c r="D356">
        <v>2</v>
      </c>
      <c r="E356">
        <v>400</v>
      </c>
      <c r="F356">
        <v>30</v>
      </c>
      <c r="G356">
        <v>1</v>
      </c>
      <c r="H356">
        <v>150</v>
      </c>
      <c r="I356">
        <v>250</v>
      </c>
      <c r="J356" t="s">
        <v>87</v>
      </c>
      <c r="K356">
        <v>250</v>
      </c>
      <c r="L356">
        <v>3</v>
      </c>
      <c r="M356">
        <v>0</v>
      </c>
      <c r="N356">
        <f>D356*Food_DB!$C$2</f>
        <v>150</v>
      </c>
      <c r="O356">
        <f>E356/100*Food_DB!$C$3</f>
        <v>260</v>
      </c>
      <c r="P356">
        <f>F356/30*Food_DB!$C$4</f>
        <v>111</v>
      </c>
      <c r="Q356">
        <f>G356*Food_DB!$C$5</f>
        <v>222</v>
      </c>
      <c r="R356">
        <f>H356/100*Food_DB!$C$6</f>
        <v>12</v>
      </c>
      <c r="S356">
        <f>I356/100*Food_DB!$C$7</f>
        <v>62.5</v>
      </c>
      <c r="T356">
        <f>IFERROR(K356/100*VLOOKUP(J356,Food_DB!$A$2:$F$14,3,FALSE),0)</f>
        <v>300</v>
      </c>
      <c r="U356">
        <f>L356*Food_DB!$C$8</f>
        <v>270</v>
      </c>
      <c r="V356">
        <f t="shared" si="20"/>
        <v>0</v>
      </c>
      <c r="W356">
        <f t="shared" si="21"/>
        <v>1387.5</v>
      </c>
      <c r="X356">
        <f>D356*Food_DB!$D$2+E356/100*Food_DB!$D$3+F356/30*Food_DB!$D$4+G356*Food_DB!$D$5+H356/100*Food_DB!$D$6+I356/100*Food_DB!$D$7+IFERROR(K356/100*VLOOKUP(J356,Food_DB!$A$2:$F$14,4,FALSE),0)+L356*Food_DB!$D$8</f>
        <v>100.49999999999999</v>
      </c>
      <c r="Y356">
        <f>D356*Food_DB!$E$2+E356/100*Food_DB!$E$3+F356/30*Food_DB!$E$4+G356*Food_DB!$E$5+H356/100*Food_DB!$E$6+I356/100*Food_DB!$E$7+IFERROR(K356/100*VLOOKUP(J356,Food_DB!$A$2:$F$14,5,FALSE),0)+L356*Food_DB!$E$8</f>
        <v>32.35</v>
      </c>
      <c r="Z356">
        <f>D356*Food_DB!$F$2+E356/100*Food_DB!$F$3+F356/30*Food_DB!$F$4+G356*Food_DB!$F$5+H356/100*Food_DB!$F$6+I356/100*Food_DB!$F$7+IFERROR(K356/100*VLOOKUP(J356,Food_DB!$A$2:$F$14,6,FALSE),0)+L356*Food_DB!$F$8</f>
        <v>178.15</v>
      </c>
      <c r="AA356">
        <v>6.5</v>
      </c>
      <c r="AB356">
        <v>30</v>
      </c>
      <c r="AC356">
        <v>0</v>
      </c>
      <c r="AD356">
        <v>0</v>
      </c>
      <c r="AE356">
        <f>Dashboard!$B$6*AA356+Dashboard!$B$6*4*AB356/60+Dashboard!$B$6*8*AC356/120+Dashboard!$B$6*7*AD356</f>
        <v>680</v>
      </c>
      <c r="AF356">
        <f>Dashboard!$B$5</f>
        <v>1700</v>
      </c>
      <c r="AG356">
        <f t="shared" si="22"/>
        <v>2720</v>
      </c>
      <c r="AH356">
        <f t="shared" si="23"/>
        <v>-1332.5</v>
      </c>
    </row>
    <row r="357" spans="1:34">
      <c r="A357">
        <v>46533</v>
      </c>
      <c r="B357" t="s">
        <v>92</v>
      </c>
      <c r="C357" t="s">
        <v>89</v>
      </c>
      <c r="D357">
        <v>2</v>
      </c>
      <c r="E357">
        <v>400</v>
      </c>
      <c r="F357">
        <v>30</v>
      </c>
      <c r="G357">
        <v>1</v>
      </c>
      <c r="H357">
        <v>150</v>
      </c>
      <c r="I357">
        <v>250</v>
      </c>
      <c r="J357" t="s">
        <v>90</v>
      </c>
      <c r="K357">
        <v>250</v>
      </c>
      <c r="L357">
        <v>3</v>
      </c>
      <c r="M357">
        <v>0</v>
      </c>
      <c r="N357">
        <f>D357*Food_DB!$C$2</f>
        <v>150</v>
      </c>
      <c r="O357">
        <f>E357/100*Food_DB!$C$3</f>
        <v>260</v>
      </c>
      <c r="P357">
        <f>F357/30*Food_DB!$C$4</f>
        <v>111</v>
      </c>
      <c r="Q357">
        <f>G357*Food_DB!$C$5</f>
        <v>222</v>
      </c>
      <c r="R357">
        <f>H357/100*Food_DB!$C$6</f>
        <v>12</v>
      </c>
      <c r="S357">
        <f>I357/100*Food_DB!$C$7</f>
        <v>62.5</v>
      </c>
      <c r="T357">
        <f>IFERROR(K357/100*VLOOKUP(J357,Food_DB!$A$2:$F$14,3,FALSE),0)</f>
        <v>575</v>
      </c>
      <c r="U357">
        <f>L357*Food_DB!$C$8</f>
        <v>270</v>
      </c>
      <c r="V357">
        <f t="shared" si="20"/>
        <v>0</v>
      </c>
      <c r="W357">
        <f t="shared" si="21"/>
        <v>1662.5</v>
      </c>
      <c r="X357">
        <f>D357*Food_DB!$D$2+E357/100*Food_DB!$D$3+F357/30*Food_DB!$D$4+G357*Food_DB!$D$5+H357/100*Food_DB!$D$6+I357/100*Food_DB!$D$7+IFERROR(K357/100*VLOOKUP(J357,Food_DB!$A$2:$F$14,4,FALSE),0)+L357*Food_DB!$D$8</f>
        <v>87.999999999999986</v>
      </c>
      <c r="Y357">
        <f>D357*Food_DB!$E$2+E357/100*Food_DB!$E$3+F357/30*Food_DB!$E$4+G357*Food_DB!$E$5+H357/100*Food_DB!$E$6+I357/100*Food_DB!$E$7+IFERROR(K357/100*VLOOKUP(J357,Food_DB!$A$2:$F$14,5,FALSE),0)+L357*Food_DB!$E$8</f>
        <v>68.599999999999994</v>
      </c>
      <c r="Z357">
        <f>D357*Food_DB!$F$2+E357/100*Food_DB!$F$3+F357/30*Food_DB!$F$4+G357*Food_DB!$F$5+H357/100*Food_DB!$F$6+I357/100*Food_DB!$F$7+IFERROR(K357/100*VLOOKUP(J357,Food_DB!$A$2:$F$14,6,FALSE),0)+L357*Food_DB!$F$8</f>
        <v>178.15</v>
      </c>
      <c r="AA357">
        <v>6.5</v>
      </c>
      <c r="AB357">
        <v>30</v>
      </c>
      <c r="AC357">
        <v>0</v>
      </c>
      <c r="AD357">
        <v>0</v>
      </c>
      <c r="AE357">
        <f>Dashboard!$B$6*AA357+Dashboard!$B$6*4*AB357/60+Dashboard!$B$6*8*AC357/120+Dashboard!$B$6*7*AD357</f>
        <v>680</v>
      </c>
      <c r="AF357">
        <f>Dashboard!$B$5</f>
        <v>1700</v>
      </c>
      <c r="AG357">
        <f t="shared" si="22"/>
        <v>2720</v>
      </c>
      <c r="AH357">
        <f t="shared" si="23"/>
        <v>-1057.5</v>
      </c>
    </row>
    <row r="358" spans="1:34">
      <c r="A358">
        <v>46534</v>
      </c>
      <c r="B358" t="s">
        <v>93</v>
      </c>
      <c r="C358" t="s">
        <v>89</v>
      </c>
      <c r="D358">
        <v>2</v>
      </c>
      <c r="E358">
        <v>400</v>
      </c>
      <c r="F358">
        <v>30</v>
      </c>
      <c r="G358">
        <v>1</v>
      </c>
      <c r="H358">
        <v>150</v>
      </c>
      <c r="I358">
        <v>250</v>
      </c>
      <c r="J358" t="s">
        <v>82</v>
      </c>
      <c r="K358">
        <v>250</v>
      </c>
      <c r="L358">
        <v>3</v>
      </c>
      <c r="M358">
        <v>0</v>
      </c>
      <c r="N358">
        <f>D358*Food_DB!$C$2</f>
        <v>150</v>
      </c>
      <c r="O358">
        <f>E358/100*Food_DB!$C$3</f>
        <v>260</v>
      </c>
      <c r="P358">
        <f>F358/30*Food_DB!$C$4</f>
        <v>111</v>
      </c>
      <c r="Q358">
        <f>G358*Food_DB!$C$5</f>
        <v>222</v>
      </c>
      <c r="R358">
        <f>H358/100*Food_DB!$C$6</f>
        <v>12</v>
      </c>
      <c r="S358">
        <f>I358/100*Food_DB!$C$7</f>
        <v>62.5</v>
      </c>
      <c r="T358">
        <f>IFERROR(K358/100*VLOOKUP(J358,Food_DB!$A$2:$F$14,3,FALSE),0)</f>
        <v>550</v>
      </c>
      <c r="U358">
        <f>L358*Food_DB!$C$8</f>
        <v>270</v>
      </c>
      <c r="V358">
        <f t="shared" si="20"/>
        <v>0</v>
      </c>
      <c r="W358">
        <f t="shared" si="21"/>
        <v>1637.5</v>
      </c>
      <c r="X358">
        <f>D358*Food_DB!$D$2+E358/100*Food_DB!$D$3+F358/30*Food_DB!$D$4+G358*Food_DB!$D$5+H358/100*Food_DB!$D$6+I358/100*Food_DB!$D$7+IFERROR(K358/100*VLOOKUP(J358,Food_DB!$A$2:$F$14,4,FALSE),0)+L358*Food_DB!$D$8</f>
        <v>92.999999999999986</v>
      </c>
      <c r="Y358">
        <f>D358*Food_DB!$E$2+E358/100*Food_DB!$E$3+F358/30*Food_DB!$E$4+G358*Food_DB!$E$5+H358/100*Food_DB!$E$6+I358/100*Food_DB!$E$7+IFERROR(K358/100*VLOOKUP(J358,Food_DB!$A$2:$F$14,5,FALSE),0)+L358*Food_DB!$E$8</f>
        <v>63.6</v>
      </c>
      <c r="Z358">
        <f>D358*Food_DB!$F$2+E358/100*Food_DB!$F$3+F358/30*Food_DB!$F$4+G358*Food_DB!$F$5+H358/100*Food_DB!$F$6+I358/100*Food_DB!$F$7+IFERROR(K358/100*VLOOKUP(J358,Food_DB!$A$2:$F$14,6,FALSE),0)+L358*Food_DB!$F$8</f>
        <v>178.15</v>
      </c>
      <c r="AA358">
        <v>6.5</v>
      </c>
      <c r="AB358">
        <v>30</v>
      </c>
      <c r="AC358">
        <v>0</v>
      </c>
      <c r="AD358">
        <v>0</v>
      </c>
      <c r="AE358">
        <f>Dashboard!$B$6*AA358+Dashboard!$B$6*4*AB358/60+Dashboard!$B$6*8*AC358/120+Dashboard!$B$6*7*AD358</f>
        <v>680</v>
      </c>
      <c r="AF358">
        <f>Dashboard!$B$5</f>
        <v>1700</v>
      </c>
      <c r="AG358">
        <f t="shared" si="22"/>
        <v>2720</v>
      </c>
      <c r="AH358">
        <f t="shared" si="23"/>
        <v>-1082.5</v>
      </c>
    </row>
    <row r="359" spans="1:34">
      <c r="A359">
        <v>46535</v>
      </c>
      <c r="B359" t="s">
        <v>80</v>
      </c>
      <c r="C359" t="s">
        <v>81</v>
      </c>
      <c r="D359">
        <v>2</v>
      </c>
      <c r="E359">
        <v>400</v>
      </c>
      <c r="F359">
        <v>30</v>
      </c>
      <c r="G359">
        <v>1</v>
      </c>
      <c r="H359">
        <v>150</v>
      </c>
      <c r="I359">
        <v>250</v>
      </c>
      <c r="J359" t="s">
        <v>85</v>
      </c>
      <c r="K359">
        <v>250</v>
      </c>
      <c r="L359">
        <v>3</v>
      </c>
      <c r="M359">
        <v>1000</v>
      </c>
      <c r="N359">
        <f>D359*Food_DB!$C$2</f>
        <v>150</v>
      </c>
      <c r="O359">
        <f>E359/100*Food_DB!$C$3</f>
        <v>260</v>
      </c>
      <c r="P359">
        <f>F359/30*Food_DB!$C$4</f>
        <v>111</v>
      </c>
      <c r="Q359">
        <f>G359*Food_DB!$C$5</f>
        <v>222</v>
      </c>
      <c r="R359">
        <f>H359/100*Food_DB!$C$6</f>
        <v>12</v>
      </c>
      <c r="S359">
        <f>I359/100*Food_DB!$C$7</f>
        <v>62.5</v>
      </c>
      <c r="T359">
        <f>IFERROR(K359/100*VLOOKUP(J359,Food_DB!$A$2:$F$14,3,FALSE),0)</f>
        <v>450</v>
      </c>
      <c r="U359">
        <f>L359*Food_DB!$C$8</f>
        <v>270</v>
      </c>
      <c r="V359">
        <f t="shared" si="20"/>
        <v>1000</v>
      </c>
      <c r="W359">
        <f t="shared" si="21"/>
        <v>2537.5</v>
      </c>
      <c r="X359">
        <f>D359*Food_DB!$D$2+E359/100*Food_DB!$D$3+F359/30*Food_DB!$D$4+G359*Food_DB!$D$5+H359/100*Food_DB!$D$6+I359/100*Food_DB!$D$7+IFERROR(K359/100*VLOOKUP(J359,Food_DB!$A$2:$F$14,4,FALSE),0)+L359*Food_DB!$D$8</f>
        <v>92.999999999999986</v>
      </c>
      <c r="Y359">
        <f>D359*Food_DB!$E$2+E359/100*Food_DB!$E$3+F359/30*Food_DB!$E$4+G359*Food_DB!$E$5+H359/100*Food_DB!$E$6+I359/100*Food_DB!$E$7+IFERROR(K359/100*VLOOKUP(J359,Food_DB!$A$2:$F$14,5,FALSE),0)+L359*Food_DB!$E$8</f>
        <v>51.1</v>
      </c>
      <c r="Z359">
        <f>D359*Food_DB!$F$2+E359/100*Food_DB!$F$3+F359/30*Food_DB!$F$4+G359*Food_DB!$F$5+H359/100*Food_DB!$F$6+I359/100*Food_DB!$F$7+IFERROR(K359/100*VLOOKUP(J359,Food_DB!$A$2:$F$14,6,FALSE),0)+L359*Food_DB!$F$8</f>
        <v>178.15</v>
      </c>
      <c r="AA359">
        <v>6.5</v>
      </c>
      <c r="AB359">
        <v>30</v>
      </c>
      <c r="AC359">
        <v>0</v>
      </c>
      <c r="AD359">
        <v>0</v>
      </c>
      <c r="AE359">
        <f>Dashboard!$B$6*AA359+Dashboard!$B$6*4*AB359/60+Dashboard!$B$6*8*AC359/120+Dashboard!$B$6*7*AD359</f>
        <v>680</v>
      </c>
      <c r="AF359">
        <f>Dashboard!$B$5</f>
        <v>1700</v>
      </c>
      <c r="AG359">
        <f t="shared" si="22"/>
        <v>2720</v>
      </c>
      <c r="AH359">
        <f t="shared" si="23"/>
        <v>-182.5</v>
      </c>
    </row>
    <row r="360" spans="1:34">
      <c r="A360">
        <v>46536</v>
      </c>
      <c r="B360" t="s">
        <v>83</v>
      </c>
      <c r="C360" t="s">
        <v>84</v>
      </c>
      <c r="D360">
        <v>2</v>
      </c>
      <c r="E360">
        <v>400</v>
      </c>
      <c r="F360">
        <v>30</v>
      </c>
      <c r="G360">
        <v>1</v>
      </c>
      <c r="H360">
        <v>150</v>
      </c>
      <c r="I360">
        <v>250</v>
      </c>
      <c r="J360" t="s">
        <v>87</v>
      </c>
      <c r="K360">
        <v>250</v>
      </c>
      <c r="L360">
        <v>3</v>
      </c>
      <c r="M360">
        <v>0</v>
      </c>
      <c r="N360">
        <f>D360*Food_DB!$C$2</f>
        <v>150</v>
      </c>
      <c r="O360">
        <f>E360/100*Food_DB!$C$3</f>
        <v>260</v>
      </c>
      <c r="P360">
        <f>F360/30*Food_DB!$C$4</f>
        <v>111</v>
      </c>
      <c r="Q360">
        <f>G360*Food_DB!$C$5</f>
        <v>222</v>
      </c>
      <c r="R360">
        <f>H360/100*Food_DB!$C$6</f>
        <v>12</v>
      </c>
      <c r="S360">
        <f>I360/100*Food_DB!$C$7</f>
        <v>62.5</v>
      </c>
      <c r="T360">
        <f>IFERROR(K360/100*VLOOKUP(J360,Food_DB!$A$2:$F$14,3,FALSE),0)</f>
        <v>300</v>
      </c>
      <c r="U360">
        <f>L360*Food_DB!$C$8</f>
        <v>270</v>
      </c>
      <c r="V360">
        <f t="shared" si="20"/>
        <v>0</v>
      </c>
      <c r="W360">
        <f t="shared" si="21"/>
        <v>1387.5</v>
      </c>
      <c r="X360">
        <f>D360*Food_DB!$D$2+E360/100*Food_DB!$D$3+F360/30*Food_DB!$D$4+G360*Food_DB!$D$5+H360/100*Food_DB!$D$6+I360/100*Food_DB!$D$7+IFERROR(K360/100*VLOOKUP(J360,Food_DB!$A$2:$F$14,4,FALSE),0)+L360*Food_DB!$D$8</f>
        <v>100.49999999999999</v>
      </c>
      <c r="Y360">
        <f>D360*Food_DB!$E$2+E360/100*Food_DB!$E$3+F360/30*Food_DB!$E$4+G360*Food_DB!$E$5+H360/100*Food_DB!$E$6+I360/100*Food_DB!$E$7+IFERROR(K360/100*VLOOKUP(J360,Food_DB!$A$2:$F$14,5,FALSE),0)+L360*Food_DB!$E$8</f>
        <v>32.35</v>
      </c>
      <c r="Z360">
        <f>D360*Food_DB!$F$2+E360/100*Food_DB!$F$3+F360/30*Food_DB!$F$4+G360*Food_DB!$F$5+H360/100*Food_DB!$F$6+I360/100*Food_DB!$F$7+IFERROR(K360/100*VLOOKUP(J360,Food_DB!$A$2:$F$14,6,FALSE),0)+L360*Food_DB!$F$8</f>
        <v>178.15</v>
      </c>
      <c r="AA360">
        <v>0</v>
      </c>
      <c r="AB360">
        <v>0</v>
      </c>
      <c r="AC360">
        <v>0</v>
      </c>
      <c r="AD360">
        <v>3.5</v>
      </c>
      <c r="AE360">
        <f>Dashboard!$B$6*AA360+Dashboard!$B$6*4*AB360/60+Dashboard!$B$6*8*AC360/120+Dashboard!$B$6*7*AD360</f>
        <v>1960</v>
      </c>
      <c r="AF360">
        <f>Dashboard!$B$5</f>
        <v>1700</v>
      </c>
      <c r="AG360">
        <f t="shared" si="22"/>
        <v>4000</v>
      </c>
      <c r="AH360">
        <f t="shared" si="23"/>
        <v>-2612.5</v>
      </c>
    </row>
    <row r="361" spans="1:34">
      <c r="A361">
        <v>46537</v>
      </c>
      <c r="B361" t="s">
        <v>86</v>
      </c>
      <c r="C361" t="s">
        <v>84</v>
      </c>
      <c r="D361">
        <v>2</v>
      </c>
      <c r="E361">
        <v>400</v>
      </c>
      <c r="F361">
        <v>30</v>
      </c>
      <c r="G361">
        <v>1</v>
      </c>
      <c r="H361">
        <v>150</v>
      </c>
      <c r="I361">
        <v>250</v>
      </c>
      <c r="J361" t="s">
        <v>90</v>
      </c>
      <c r="K361">
        <v>250</v>
      </c>
      <c r="L361">
        <v>3</v>
      </c>
      <c r="M361">
        <v>0</v>
      </c>
      <c r="N361">
        <f>D361*Food_DB!$C$2</f>
        <v>150</v>
      </c>
      <c r="O361">
        <f>E361/100*Food_DB!$C$3</f>
        <v>260</v>
      </c>
      <c r="P361">
        <f>F361/30*Food_DB!$C$4</f>
        <v>111</v>
      </c>
      <c r="Q361">
        <f>G361*Food_DB!$C$5</f>
        <v>222</v>
      </c>
      <c r="R361">
        <f>H361/100*Food_DB!$C$6</f>
        <v>12</v>
      </c>
      <c r="S361">
        <f>I361/100*Food_DB!$C$7</f>
        <v>62.5</v>
      </c>
      <c r="T361">
        <f>IFERROR(K361/100*VLOOKUP(J361,Food_DB!$A$2:$F$14,3,FALSE),0)</f>
        <v>575</v>
      </c>
      <c r="U361">
        <f>L361*Food_DB!$C$8</f>
        <v>270</v>
      </c>
      <c r="V361">
        <f t="shared" si="20"/>
        <v>0</v>
      </c>
      <c r="W361">
        <f t="shared" si="21"/>
        <v>1662.5</v>
      </c>
      <c r="X361">
        <f>D361*Food_DB!$D$2+E361/100*Food_DB!$D$3+F361/30*Food_DB!$D$4+G361*Food_DB!$D$5+H361/100*Food_DB!$D$6+I361/100*Food_DB!$D$7+IFERROR(K361/100*VLOOKUP(J361,Food_DB!$A$2:$F$14,4,FALSE),0)+L361*Food_DB!$D$8</f>
        <v>87.999999999999986</v>
      </c>
      <c r="Y361">
        <f>D361*Food_DB!$E$2+E361/100*Food_DB!$E$3+F361/30*Food_DB!$E$4+G361*Food_DB!$E$5+H361/100*Food_DB!$E$6+I361/100*Food_DB!$E$7+IFERROR(K361/100*VLOOKUP(J361,Food_DB!$A$2:$F$14,5,FALSE),0)+L361*Food_DB!$E$8</f>
        <v>68.599999999999994</v>
      </c>
      <c r="Z361">
        <f>D361*Food_DB!$F$2+E361/100*Food_DB!$F$3+F361/30*Food_DB!$F$4+G361*Food_DB!$F$5+H361/100*Food_DB!$F$6+I361/100*Food_DB!$F$7+IFERROR(K361/100*VLOOKUP(J361,Food_DB!$A$2:$F$14,6,FALSE),0)+L361*Food_DB!$F$8</f>
        <v>178.15</v>
      </c>
      <c r="AA361">
        <v>0</v>
      </c>
      <c r="AB361">
        <v>0</v>
      </c>
      <c r="AC361">
        <v>0</v>
      </c>
      <c r="AD361">
        <v>3.5</v>
      </c>
      <c r="AE361">
        <f>Dashboard!$B$6*AA361+Dashboard!$B$6*4*AB361/60+Dashboard!$B$6*8*AC361/120+Dashboard!$B$6*7*AD361</f>
        <v>1960</v>
      </c>
      <c r="AF361">
        <f>Dashboard!$B$5</f>
        <v>1700</v>
      </c>
      <c r="AG361">
        <f t="shared" si="22"/>
        <v>4000</v>
      </c>
      <c r="AH361">
        <f t="shared" si="23"/>
        <v>-2337.5</v>
      </c>
    </row>
    <row r="362" spans="1:34">
      <c r="A362">
        <v>46538</v>
      </c>
      <c r="B362" t="s">
        <v>88</v>
      </c>
      <c r="C362" t="s">
        <v>89</v>
      </c>
      <c r="D362">
        <v>2</v>
      </c>
      <c r="E362">
        <v>400</v>
      </c>
      <c r="F362">
        <v>30</v>
      </c>
      <c r="G362">
        <v>1</v>
      </c>
      <c r="H362">
        <v>150</v>
      </c>
      <c r="I362">
        <v>250</v>
      </c>
      <c r="J362" t="s">
        <v>82</v>
      </c>
      <c r="K362">
        <v>250</v>
      </c>
      <c r="L362">
        <v>3</v>
      </c>
      <c r="M362">
        <v>0</v>
      </c>
      <c r="N362">
        <f>D362*Food_DB!$C$2</f>
        <v>150</v>
      </c>
      <c r="O362">
        <f>E362/100*Food_DB!$C$3</f>
        <v>260</v>
      </c>
      <c r="P362">
        <f>F362/30*Food_DB!$C$4</f>
        <v>111</v>
      </c>
      <c r="Q362">
        <f>G362*Food_DB!$C$5</f>
        <v>222</v>
      </c>
      <c r="R362">
        <f>H362/100*Food_DB!$C$6</f>
        <v>12</v>
      </c>
      <c r="S362">
        <f>I362/100*Food_DB!$C$7</f>
        <v>62.5</v>
      </c>
      <c r="T362">
        <f>IFERROR(K362/100*VLOOKUP(J362,Food_DB!$A$2:$F$14,3,FALSE),0)</f>
        <v>550</v>
      </c>
      <c r="U362">
        <f>L362*Food_DB!$C$8</f>
        <v>270</v>
      </c>
      <c r="V362">
        <f t="shared" si="20"/>
        <v>0</v>
      </c>
      <c r="W362">
        <f t="shared" si="21"/>
        <v>1637.5</v>
      </c>
      <c r="X362">
        <f>D362*Food_DB!$D$2+E362/100*Food_DB!$D$3+F362/30*Food_DB!$D$4+G362*Food_DB!$D$5+H362/100*Food_DB!$D$6+I362/100*Food_DB!$D$7+IFERROR(K362/100*VLOOKUP(J362,Food_DB!$A$2:$F$14,4,FALSE),0)+L362*Food_DB!$D$8</f>
        <v>92.999999999999986</v>
      </c>
      <c r="Y362">
        <f>D362*Food_DB!$E$2+E362/100*Food_DB!$E$3+F362/30*Food_DB!$E$4+G362*Food_DB!$E$5+H362/100*Food_DB!$E$6+I362/100*Food_DB!$E$7+IFERROR(K362/100*VLOOKUP(J362,Food_DB!$A$2:$F$14,5,FALSE),0)+L362*Food_DB!$E$8</f>
        <v>63.6</v>
      </c>
      <c r="Z362">
        <f>D362*Food_DB!$F$2+E362/100*Food_DB!$F$3+F362/30*Food_DB!$F$4+G362*Food_DB!$F$5+H362/100*Food_DB!$F$6+I362/100*Food_DB!$F$7+IFERROR(K362/100*VLOOKUP(J362,Food_DB!$A$2:$F$14,6,FALSE),0)+L362*Food_DB!$F$8</f>
        <v>178.15</v>
      </c>
      <c r="AA362">
        <v>6.5</v>
      </c>
      <c r="AB362">
        <v>30</v>
      </c>
      <c r="AC362">
        <v>0</v>
      </c>
      <c r="AD362">
        <v>0</v>
      </c>
      <c r="AE362">
        <f>Dashboard!$B$6*AA362+Dashboard!$B$6*4*AB362/60+Dashboard!$B$6*8*AC362/120+Dashboard!$B$6*7*AD362</f>
        <v>680</v>
      </c>
      <c r="AF362">
        <f>Dashboard!$B$5</f>
        <v>1700</v>
      </c>
      <c r="AG362">
        <f t="shared" si="22"/>
        <v>2720</v>
      </c>
      <c r="AH362">
        <f t="shared" si="23"/>
        <v>-1082.5</v>
      </c>
    </row>
    <row r="363" spans="1:34">
      <c r="A363">
        <v>46539</v>
      </c>
      <c r="B363" t="s">
        <v>91</v>
      </c>
      <c r="C363" t="s">
        <v>89</v>
      </c>
      <c r="D363">
        <v>2</v>
      </c>
      <c r="E363">
        <v>400</v>
      </c>
      <c r="F363">
        <v>30</v>
      </c>
      <c r="G363">
        <v>1</v>
      </c>
      <c r="H363">
        <v>150</v>
      </c>
      <c r="I363">
        <v>250</v>
      </c>
      <c r="J363" t="s">
        <v>85</v>
      </c>
      <c r="K363">
        <v>250</v>
      </c>
      <c r="L363">
        <v>3</v>
      </c>
      <c r="M363">
        <v>0</v>
      </c>
      <c r="N363">
        <f>D363*Food_DB!$C$2</f>
        <v>150</v>
      </c>
      <c r="O363">
        <f>E363/100*Food_DB!$C$3</f>
        <v>260</v>
      </c>
      <c r="P363">
        <f>F363/30*Food_DB!$C$4</f>
        <v>111</v>
      </c>
      <c r="Q363">
        <f>G363*Food_DB!$C$5</f>
        <v>222</v>
      </c>
      <c r="R363">
        <f>H363/100*Food_DB!$C$6</f>
        <v>12</v>
      </c>
      <c r="S363">
        <f>I363/100*Food_DB!$C$7</f>
        <v>62.5</v>
      </c>
      <c r="T363">
        <f>IFERROR(K363/100*VLOOKUP(J363,Food_DB!$A$2:$F$14,3,FALSE),0)</f>
        <v>450</v>
      </c>
      <c r="U363">
        <f>L363*Food_DB!$C$8</f>
        <v>270</v>
      </c>
      <c r="V363">
        <f t="shared" si="20"/>
        <v>0</v>
      </c>
      <c r="W363">
        <f t="shared" si="21"/>
        <v>1537.5</v>
      </c>
      <c r="X363">
        <f>D363*Food_DB!$D$2+E363/100*Food_DB!$D$3+F363/30*Food_DB!$D$4+G363*Food_DB!$D$5+H363/100*Food_DB!$D$6+I363/100*Food_DB!$D$7+IFERROR(K363/100*VLOOKUP(J363,Food_DB!$A$2:$F$14,4,FALSE),0)+L363*Food_DB!$D$8</f>
        <v>92.999999999999986</v>
      </c>
      <c r="Y363">
        <f>D363*Food_DB!$E$2+E363/100*Food_DB!$E$3+F363/30*Food_DB!$E$4+G363*Food_DB!$E$5+H363/100*Food_DB!$E$6+I363/100*Food_DB!$E$7+IFERROR(K363/100*VLOOKUP(J363,Food_DB!$A$2:$F$14,5,FALSE),0)+L363*Food_DB!$E$8</f>
        <v>51.1</v>
      </c>
      <c r="Z363">
        <f>D363*Food_DB!$F$2+E363/100*Food_DB!$F$3+F363/30*Food_DB!$F$4+G363*Food_DB!$F$5+H363/100*Food_DB!$F$6+I363/100*Food_DB!$F$7+IFERROR(K363/100*VLOOKUP(J363,Food_DB!$A$2:$F$14,6,FALSE),0)+L363*Food_DB!$F$8</f>
        <v>178.15</v>
      </c>
      <c r="AA363">
        <v>6.5</v>
      </c>
      <c r="AB363">
        <v>30</v>
      </c>
      <c r="AC363">
        <v>0</v>
      </c>
      <c r="AD363">
        <v>0</v>
      </c>
      <c r="AE363">
        <f>Dashboard!$B$6*AA363+Dashboard!$B$6*4*AB363/60+Dashboard!$B$6*8*AC363/120+Dashboard!$B$6*7*AD363</f>
        <v>680</v>
      </c>
      <c r="AF363">
        <f>Dashboard!$B$5</f>
        <v>1700</v>
      </c>
      <c r="AG363">
        <f t="shared" si="22"/>
        <v>2720</v>
      </c>
      <c r="AH363">
        <f t="shared" si="23"/>
        <v>-1182.5</v>
      </c>
    </row>
    <row r="364" spans="1:34">
      <c r="A364">
        <v>46540</v>
      </c>
      <c r="B364" t="s">
        <v>92</v>
      </c>
      <c r="C364" t="s">
        <v>89</v>
      </c>
      <c r="D364">
        <v>2</v>
      </c>
      <c r="E364">
        <v>400</v>
      </c>
      <c r="F364">
        <v>30</v>
      </c>
      <c r="G364">
        <v>1</v>
      </c>
      <c r="H364">
        <v>150</v>
      </c>
      <c r="I364">
        <v>250</v>
      </c>
      <c r="J364" t="s">
        <v>87</v>
      </c>
      <c r="K364">
        <v>250</v>
      </c>
      <c r="L364">
        <v>3</v>
      </c>
      <c r="M364">
        <v>0</v>
      </c>
      <c r="N364">
        <f>D364*Food_DB!$C$2</f>
        <v>150</v>
      </c>
      <c r="O364">
        <f>E364/100*Food_DB!$C$3</f>
        <v>260</v>
      </c>
      <c r="P364">
        <f>F364/30*Food_DB!$C$4</f>
        <v>111</v>
      </c>
      <c r="Q364">
        <f>G364*Food_DB!$C$5</f>
        <v>222</v>
      </c>
      <c r="R364">
        <f>H364/100*Food_DB!$C$6</f>
        <v>12</v>
      </c>
      <c r="S364">
        <f>I364/100*Food_DB!$C$7</f>
        <v>62.5</v>
      </c>
      <c r="T364">
        <f>IFERROR(K364/100*VLOOKUP(J364,Food_DB!$A$2:$F$14,3,FALSE),0)</f>
        <v>300</v>
      </c>
      <c r="U364">
        <f>L364*Food_DB!$C$8</f>
        <v>270</v>
      </c>
      <c r="V364">
        <f t="shared" si="20"/>
        <v>0</v>
      </c>
      <c r="W364">
        <f t="shared" si="21"/>
        <v>1387.5</v>
      </c>
      <c r="X364">
        <f>D364*Food_DB!$D$2+E364/100*Food_DB!$D$3+F364/30*Food_DB!$D$4+G364*Food_DB!$D$5+H364/100*Food_DB!$D$6+I364/100*Food_DB!$D$7+IFERROR(K364/100*VLOOKUP(J364,Food_DB!$A$2:$F$14,4,FALSE),0)+L364*Food_DB!$D$8</f>
        <v>100.49999999999999</v>
      </c>
      <c r="Y364">
        <f>D364*Food_DB!$E$2+E364/100*Food_DB!$E$3+F364/30*Food_DB!$E$4+G364*Food_DB!$E$5+H364/100*Food_DB!$E$6+I364/100*Food_DB!$E$7+IFERROR(K364/100*VLOOKUP(J364,Food_DB!$A$2:$F$14,5,FALSE),0)+L364*Food_DB!$E$8</f>
        <v>32.35</v>
      </c>
      <c r="Z364">
        <f>D364*Food_DB!$F$2+E364/100*Food_DB!$F$3+F364/30*Food_DB!$F$4+G364*Food_DB!$F$5+H364/100*Food_DB!$F$6+I364/100*Food_DB!$F$7+IFERROR(K364/100*VLOOKUP(J364,Food_DB!$A$2:$F$14,6,FALSE),0)+L364*Food_DB!$F$8</f>
        <v>178.15</v>
      </c>
      <c r="AA364">
        <v>6.5</v>
      </c>
      <c r="AB364">
        <v>30</v>
      </c>
      <c r="AC364">
        <v>0</v>
      </c>
      <c r="AD364">
        <v>0</v>
      </c>
      <c r="AE364">
        <f>Dashboard!$B$6*AA364+Dashboard!$B$6*4*AB364/60+Dashboard!$B$6*8*AC364/120+Dashboard!$B$6*7*AD364</f>
        <v>680</v>
      </c>
      <c r="AF364">
        <f>Dashboard!$B$5</f>
        <v>1700</v>
      </c>
      <c r="AG364">
        <f t="shared" si="22"/>
        <v>2720</v>
      </c>
      <c r="AH364">
        <f t="shared" si="23"/>
        <v>-1332.5</v>
      </c>
    </row>
    <row r="365" spans="1:34">
      <c r="A365">
        <v>46541</v>
      </c>
      <c r="B365" t="s">
        <v>93</v>
      </c>
      <c r="C365" t="s">
        <v>89</v>
      </c>
      <c r="D365">
        <v>2</v>
      </c>
      <c r="E365">
        <v>400</v>
      </c>
      <c r="F365">
        <v>30</v>
      </c>
      <c r="G365">
        <v>1</v>
      </c>
      <c r="H365">
        <v>150</v>
      </c>
      <c r="I365">
        <v>250</v>
      </c>
      <c r="J365" t="s">
        <v>90</v>
      </c>
      <c r="K365">
        <v>250</v>
      </c>
      <c r="L365">
        <v>3</v>
      </c>
      <c r="M365">
        <v>0</v>
      </c>
      <c r="N365">
        <f>D365*Food_DB!$C$2</f>
        <v>150</v>
      </c>
      <c r="O365">
        <f>E365/100*Food_DB!$C$3</f>
        <v>260</v>
      </c>
      <c r="P365">
        <f>F365/30*Food_DB!$C$4</f>
        <v>111</v>
      </c>
      <c r="Q365">
        <f>G365*Food_DB!$C$5</f>
        <v>222</v>
      </c>
      <c r="R365">
        <f>H365/100*Food_DB!$C$6</f>
        <v>12</v>
      </c>
      <c r="S365">
        <f>I365/100*Food_DB!$C$7</f>
        <v>62.5</v>
      </c>
      <c r="T365">
        <f>IFERROR(K365/100*VLOOKUP(J365,Food_DB!$A$2:$F$14,3,FALSE),0)</f>
        <v>575</v>
      </c>
      <c r="U365">
        <f>L365*Food_DB!$C$8</f>
        <v>270</v>
      </c>
      <c r="V365">
        <f t="shared" si="20"/>
        <v>0</v>
      </c>
      <c r="W365">
        <f t="shared" si="21"/>
        <v>1662.5</v>
      </c>
      <c r="X365">
        <f>D365*Food_DB!$D$2+E365/100*Food_DB!$D$3+F365/30*Food_DB!$D$4+G365*Food_DB!$D$5+H365/100*Food_DB!$D$6+I365/100*Food_DB!$D$7+IFERROR(K365/100*VLOOKUP(J365,Food_DB!$A$2:$F$14,4,FALSE),0)+L365*Food_DB!$D$8</f>
        <v>87.999999999999986</v>
      </c>
      <c r="Y365">
        <f>D365*Food_DB!$E$2+E365/100*Food_DB!$E$3+F365/30*Food_DB!$E$4+G365*Food_DB!$E$5+H365/100*Food_DB!$E$6+I365/100*Food_DB!$E$7+IFERROR(K365/100*VLOOKUP(J365,Food_DB!$A$2:$F$14,5,FALSE),0)+L365*Food_DB!$E$8</f>
        <v>68.599999999999994</v>
      </c>
      <c r="Z365">
        <f>D365*Food_DB!$F$2+E365/100*Food_DB!$F$3+F365/30*Food_DB!$F$4+G365*Food_DB!$F$5+H365/100*Food_DB!$F$6+I365/100*Food_DB!$F$7+IFERROR(K365/100*VLOOKUP(J365,Food_DB!$A$2:$F$14,6,FALSE),0)+L365*Food_DB!$F$8</f>
        <v>178.15</v>
      </c>
      <c r="AA365">
        <v>6.5</v>
      </c>
      <c r="AB365">
        <v>30</v>
      </c>
      <c r="AC365">
        <v>0</v>
      </c>
      <c r="AD365">
        <v>0</v>
      </c>
      <c r="AE365">
        <f>Dashboard!$B$6*AA365+Dashboard!$B$6*4*AB365/60+Dashboard!$B$6*8*AC365/120+Dashboard!$B$6*7*AD365</f>
        <v>680</v>
      </c>
      <c r="AF365">
        <f>Dashboard!$B$5</f>
        <v>1700</v>
      </c>
      <c r="AG365">
        <f t="shared" si="22"/>
        <v>2720</v>
      </c>
      <c r="AH365">
        <f t="shared" si="23"/>
        <v>-1057.5</v>
      </c>
    </row>
    <row r="366" spans="1:34">
      <c r="A366">
        <v>46542</v>
      </c>
      <c r="B366" t="s">
        <v>80</v>
      </c>
      <c r="C366" t="s">
        <v>81</v>
      </c>
      <c r="D366">
        <v>2</v>
      </c>
      <c r="E366">
        <v>400</v>
      </c>
      <c r="F366">
        <v>30</v>
      </c>
      <c r="G366">
        <v>1</v>
      </c>
      <c r="H366">
        <v>150</v>
      </c>
      <c r="I366">
        <v>250</v>
      </c>
      <c r="J366" t="s">
        <v>82</v>
      </c>
      <c r="K366">
        <v>250</v>
      </c>
      <c r="L366">
        <v>3</v>
      </c>
      <c r="M366">
        <v>1000</v>
      </c>
      <c r="N366">
        <f>D366*Food_DB!$C$2</f>
        <v>150</v>
      </c>
      <c r="O366">
        <f>E366/100*Food_DB!$C$3</f>
        <v>260</v>
      </c>
      <c r="P366">
        <f>F366/30*Food_DB!$C$4</f>
        <v>111</v>
      </c>
      <c r="Q366">
        <f>G366*Food_DB!$C$5</f>
        <v>222</v>
      </c>
      <c r="R366">
        <f>H366/100*Food_DB!$C$6</f>
        <v>12</v>
      </c>
      <c r="S366">
        <f>I366/100*Food_DB!$C$7</f>
        <v>62.5</v>
      </c>
      <c r="T366">
        <f>IFERROR(K366/100*VLOOKUP(J366,Food_DB!$A$2:$F$14,3,FALSE),0)</f>
        <v>550</v>
      </c>
      <c r="U366">
        <f>L366*Food_DB!$C$8</f>
        <v>270</v>
      </c>
      <c r="V366">
        <f t="shared" si="20"/>
        <v>1000</v>
      </c>
      <c r="W366">
        <f t="shared" si="21"/>
        <v>2637.5</v>
      </c>
      <c r="X366">
        <f>D366*Food_DB!$D$2+E366/100*Food_DB!$D$3+F366/30*Food_DB!$D$4+G366*Food_DB!$D$5+H366/100*Food_DB!$D$6+I366/100*Food_DB!$D$7+IFERROR(K366/100*VLOOKUP(J366,Food_DB!$A$2:$F$14,4,FALSE),0)+L366*Food_DB!$D$8</f>
        <v>92.999999999999986</v>
      </c>
      <c r="Y366">
        <f>D366*Food_DB!$E$2+E366/100*Food_DB!$E$3+F366/30*Food_DB!$E$4+G366*Food_DB!$E$5+H366/100*Food_DB!$E$6+I366/100*Food_DB!$E$7+IFERROR(K366/100*VLOOKUP(J366,Food_DB!$A$2:$F$14,5,FALSE),0)+L366*Food_DB!$E$8</f>
        <v>63.6</v>
      </c>
      <c r="Z366">
        <f>D366*Food_DB!$F$2+E366/100*Food_DB!$F$3+F366/30*Food_DB!$F$4+G366*Food_DB!$F$5+H366/100*Food_DB!$F$6+I366/100*Food_DB!$F$7+IFERROR(K366/100*VLOOKUP(J366,Food_DB!$A$2:$F$14,6,FALSE),0)+L366*Food_DB!$F$8</f>
        <v>178.15</v>
      </c>
      <c r="AA366">
        <v>6.5</v>
      </c>
      <c r="AB366">
        <v>30</v>
      </c>
      <c r="AC366">
        <v>0</v>
      </c>
      <c r="AD366">
        <v>0</v>
      </c>
      <c r="AE366">
        <f>Dashboard!$B$6*AA366+Dashboard!$B$6*4*AB366/60+Dashboard!$B$6*8*AC366/120+Dashboard!$B$6*7*AD366</f>
        <v>680</v>
      </c>
      <c r="AF366">
        <f>Dashboard!$B$5</f>
        <v>1700</v>
      </c>
      <c r="AG366">
        <f t="shared" si="22"/>
        <v>2720</v>
      </c>
      <c r="AH366">
        <f t="shared" si="23"/>
        <v>-82.5</v>
      </c>
    </row>
    <row r="367" spans="1:34">
      <c r="A367">
        <v>46543</v>
      </c>
      <c r="B367" t="s">
        <v>83</v>
      </c>
      <c r="C367" t="s">
        <v>84</v>
      </c>
      <c r="D367">
        <v>2</v>
      </c>
      <c r="E367">
        <v>400</v>
      </c>
      <c r="F367">
        <v>30</v>
      </c>
      <c r="G367">
        <v>1</v>
      </c>
      <c r="H367">
        <v>150</v>
      </c>
      <c r="I367">
        <v>250</v>
      </c>
      <c r="J367" t="s">
        <v>85</v>
      </c>
      <c r="K367">
        <v>250</v>
      </c>
      <c r="L367">
        <v>3</v>
      </c>
      <c r="M367">
        <v>0</v>
      </c>
      <c r="N367">
        <f>D367*Food_DB!$C$2</f>
        <v>150</v>
      </c>
      <c r="O367">
        <f>E367/100*Food_DB!$C$3</f>
        <v>260</v>
      </c>
      <c r="P367">
        <f>F367/30*Food_DB!$C$4</f>
        <v>111</v>
      </c>
      <c r="Q367">
        <f>G367*Food_DB!$C$5</f>
        <v>222</v>
      </c>
      <c r="R367">
        <f>H367/100*Food_DB!$C$6</f>
        <v>12</v>
      </c>
      <c r="S367">
        <f>I367/100*Food_DB!$C$7</f>
        <v>62.5</v>
      </c>
      <c r="T367">
        <f>IFERROR(K367/100*VLOOKUP(J367,Food_DB!$A$2:$F$14,3,FALSE),0)</f>
        <v>450</v>
      </c>
      <c r="U367">
        <f>L367*Food_DB!$C$8</f>
        <v>270</v>
      </c>
      <c r="V367">
        <f t="shared" si="20"/>
        <v>0</v>
      </c>
      <c r="W367">
        <f t="shared" si="21"/>
        <v>1537.5</v>
      </c>
      <c r="X367">
        <f>D367*Food_DB!$D$2+E367/100*Food_DB!$D$3+F367/30*Food_DB!$D$4+G367*Food_DB!$D$5+H367/100*Food_DB!$D$6+I367/100*Food_DB!$D$7+IFERROR(K367/100*VLOOKUP(J367,Food_DB!$A$2:$F$14,4,FALSE),0)+L367*Food_DB!$D$8</f>
        <v>92.999999999999986</v>
      </c>
      <c r="Y367">
        <f>D367*Food_DB!$E$2+E367/100*Food_DB!$E$3+F367/30*Food_DB!$E$4+G367*Food_DB!$E$5+H367/100*Food_DB!$E$6+I367/100*Food_DB!$E$7+IFERROR(K367/100*VLOOKUP(J367,Food_DB!$A$2:$F$14,5,FALSE),0)+L367*Food_DB!$E$8</f>
        <v>51.1</v>
      </c>
      <c r="Z367">
        <f>D367*Food_DB!$F$2+E367/100*Food_DB!$F$3+F367/30*Food_DB!$F$4+G367*Food_DB!$F$5+H367/100*Food_DB!$F$6+I367/100*Food_DB!$F$7+IFERROR(K367/100*VLOOKUP(J367,Food_DB!$A$2:$F$14,6,FALSE),0)+L367*Food_DB!$F$8</f>
        <v>178.15</v>
      </c>
      <c r="AA367">
        <v>0</v>
      </c>
      <c r="AB367">
        <v>0</v>
      </c>
      <c r="AC367">
        <v>0</v>
      </c>
      <c r="AD367">
        <v>3.5</v>
      </c>
      <c r="AE367">
        <f>Dashboard!$B$6*AA367+Dashboard!$B$6*4*AB367/60+Dashboard!$B$6*8*AC367/120+Dashboard!$B$6*7*AD367</f>
        <v>1960</v>
      </c>
      <c r="AF367">
        <f>Dashboard!$B$5</f>
        <v>1700</v>
      </c>
      <c r="AG367">
        <f t="shared" si="22"/>
        <v>4000</v>
      </c>
      <c r="AH367">
        <f t="shared" si="23"/>
        <v>-2462.5</v>
      </c>
    </row>
    <row r="368" spans="1:34">
      <c r="A368">
        <v>46544</v>
      </c>
      <c r="B368" t="s">
        <v>86</v>
      </c>
      <c r="C368" t="s">
        <v>84</v>
      </c>
      <c r="D368">
        <v>2</v>
      </c>
      <c r="E368">
        <v>400</v>
      </c>
      <c r="F368">
        <v>30</v>
      </c>
      <c r="G368">
        <v>1</v>
      </c>
      <c r="H368">
        <v>150</v>
      </c>
      <c r="I368">
        <v>250</v>
      </c>
      <c r="J368" t="s">
        <v>87</v>
      </c>
      <c r="K368">
        <v>250</v>
      </c>
      <c r="L368">
        <v>3</v>
      </c>
      <c r="M368">
        <v>0</v>
      </c>
      <c r="N368">
        <f>D368*Food_DB!$C$2</f>
        <v>150</v>
      </c>
      <c r="O368">
        <f>E368/100*Food_DB!$C$3</f>
        <v>260</v>
      </c>
      <c r="P368">
        <f>F368/30*Food_DB!$C$4</f>
        <v>111</v>
      </c>
      <c r="Q368">
        <f>G368*Food_DB!$C$5</f>
        <v>222</v>
      </c>
      <c r="R368">
        <f>H368/100*Food_DB!$C$6</f>
        <v>12</v>
      </c>
      <c r="S368">
        <f>I368/100*Food_DB!$C$7</f>
        <v>62.5</v>
      </c>
      <c r="T368">
        <f>IFERROR(K368/100*VLOOKUP(J368,Food_DB!$A$2:$F$14,3,FALSE),0)</f>
        <v>300</v>
      </c>
      <c r="U368">
        <f>L368*Food_DB!$C$8</f>
        <v>270</v>
      </c>
      <c r="V368">
        <f t="shared" si="20"/>
        <v>0</v>
      </c>
      <c r="W368">
        <f t="shared" si="21"/>
        <v>1387.5</v>
      </c>
      <c r="X368">
        <f>D368*Food_DB!$D$2+E368/100*Food_DB!$D$3+F368/30*Food_DB!$D$4+G368*Food_DB!$D$5+H368/100*Food_DB!$D$6+I368/100*Food_DB!$D$7+IFERROR(K368/100*VLOOKUP(J368,Food_DB!$A$2:$F$14,4,FALSE),0)+L368*Food_DB!$D$8</f>
        <v>100.49999999999999</v>
      </c>
      <c r="Y368">
        <f>D368*Food_DB!$E$2+E368/100*Food_DB!$E$3+F368/30*Food_DB!$E$4+G368*Food_DB!$E$5+H368/100*Food_DB!$E$6+I368/100*Food_DB!$E$7+IFERROR(K368/100*VLOOKUP(J368,Food_DB!$A$2:$F$14,5,FALSE),0)+L368*Food_DB!$E$8</f>
        <v>32.35</v>
      </c>
      <c r="Z368">
        <f>D368*Food_DB!$F$2+E368/100*Food_DB!$F$3+F368/30*Food_DB!$F$4+G368*Food_DB!$F$5+H368/100*Food_DB!$F$6+I368/100*Food_DB!$F$7+IFERROR(K368/100*VLOOKUP(J368,Food_DB!$A$2:$F$14,6,FALSE),0)+L368*Food_DB!$F$8</f>
        <v>178.15</v>
      </c>
      <c r="AA368">
        <v>0</v>
      </c>
      <c r="AB368">
        <v>0</v>
      </c>
      <c r="AC368">
        <v>0</v>
      </c>
      <c r="AD368">
        <v>3.5</v>
      </c>
      <c r="AE368">
        <f>Dashboard!$B$6*AA368+Dashboard!$B$6*4*AB368/60+Dashboard!$B$6*8*AC368/120+Dashboard!$B$6*7*AD368</f>
        <v>1960</v>
      </c>
      <c r="AF368">
        <f>Dashboard!$B$5</f>
        <v>1700</v>
      </c>
      <c r="AG368">
        <f t="shared" si="22"/>
        <v>4000</v>
      </c>
      <c r="AH368">
        <f t="shared" si="23"/>
        <v>-2612.5</v>
      </c>
    </row>
    <row r="369" spans="1:34">
      <c r="A369">
        <v>46545</v>
      </c>
      <c r="B369" t="s">
        <v>88</v>
      </c>
      <c r="C369" t="s">
        <v>89</v>
      </c>
      <c r="D369">
        <v>2</v>
      </c>
      <c r="E369">
        <v>400</v>
      </c>
      <c r="F369">
        <v>30</v>
      </c>
      <c r="G369">
        <v>1</v>
      </c>
      <c r="H369">
        <v>150</v>
      </c>
      <c r="I369">
        <v>250</v>
      </c>
      <c r="J369" t="s">
        <v>90</v>
      </c>
      <c r="K369">
        <v>250</v>
      </c>
      <c r="L369">
        <v>3</v>
      </c>
      <c r="M369">
        <v>0</v>
      </c>
      <c r="N369">
        <f>D369*Food_DB!$C$2</f>
        <v>150</v>
      </c>
      <c r="O369">
        <f>E369/100*Food_DB!$C$3</f>
        <v>260</v>
      </c>
      <c r="P369">
        <f>F369/30*Food_DB!$C$4</f>
        <v>111</v>
      </c>
      <c r="Q369">
        <f>G369*Food_DB!$C$5</f>
        <v>222</v>
      </c>
      <c r="R369">
        <f>H369/100*Food_DB!$C$6</f>
        <v>12</v>
      </c>
      <c r="S369">
        <f>I369/100*Food_DB!$C$7</f>
        <v>62.5</v>
      </c>
      <c r="T369">
        <f>IFERROR(K369/100*VLOOKUP(J369,Food_DB!$A$2:$F$14,3,FALSE),0)</f>
        <v>575</v>
      </c>
      <c r="U369">
        <f>L369*Food_DB!$C$8</f>
        <v>270</v>
      </c>
      <c r="V369">
        <f t="shared" si="20"/>
        <v>0</v>
      </c>
      <c r="W369">
        <f t="shared" si="21"/>
        <v>1662.5</v>
      </c>
      <c r="X369">
        <f>D369*Food_DB!$D$2+E369/100*Food_DB!$D$3+F369/30*Food_DB!$D$4+G369*Food_DB!$D$5+H369/100*Food_DB!$D$6+I369/100*Food_DB!$D$7+IFERROR(K369/100*VLOOKUP(J369,Food_DB!$A$2:$F$14,4,FALSE),0)+L369*Food_DB!$D$8</f>
        <v>87.999999999999986</v>
      </c>
      <c r="Y369">
        <f>D369*Food_DB!$E$2+E369/100*Food_DB!$E$3+F369/30*Food_DB!$E$4+G369*Food_DB!$E$5+H369/100*Food_DB!$E$6+I369/100*Food_DB!$E$7+IFERROR(K369/100*VLOOKUP(J369,Food_DB!$A$2:$F$14,5,FALSE),0)+L369*Food_DB!$E$8</f>
        <v>68.599999999999994</v>
      </c>
      <c r="Z369">
        <f>D369*Food_DB!$F$2+E369/100*Food_DB!$F$3+F369/30*Food_DB!$F$4+G369*Food_DB!$F$5+H369/100*Food_DB!$F$6+I369/100*Food_DB!$F$7+IFERROR(K369/100*VLOOKUP(J369,Food_DB!$A$2:$F$14,6,FALSE),0)+L369*Food_DB!$F$8</f>
        <v>178.15</v>
      </c>
      <c r="AA369">
        <v>6.5</v>
      </c>
      <c r="AB369">
        <v>30</v>
      </c>
      <c r="AC369">
        <v>0</v>
      </c>
      <c r="AD369">
        <v>0</v>
      </c>
      <c r="AE369">
        <f>Dashboard!$B$6*AA369+Dashboard!$B$6*4*AB369/60+Dashboard!$B$6*8*AC369/120+Dashboard!$B$6*7*AD369</f>
        <v>680</v>
      </c>
      <c r="AF369">
        <f>Dashboard!$B$5</f>
        <v>1700</v>
      </c>
      <c r="AG369">
        <f t="shared" si="22"/>
        <v>2720</v>
      </c>
      <c r="AH369">
        <f t="shared" si="23"/>
        <v>-1057.5</v>
      </c>
    </row>
    <row r="370" spans="1:34">
      <c r="A370">
        <v>46546</v>
      </c>
      <c r="B370" t="s">
        <v>91</v>
      </c>
      <c r="C370" t="s">
        <v>89</v>
      </c>
      <c r="D370">
        <v>2</v>
      </c>
      <c r="E370">
        <v>400</v>
      </c>
      <c r="F370">
        <v>30</v>
      </c>
      <c r="G370">
        <v>1</v>
      </c>
      <c r="H370">
        <v>150</v>
      </c>
      <c r="I370">
        <v>250</v>
      </c>
      <c r="J370" t="s">
        <v>82</v>
      </c>
      <c r="K370">
        <v>250</v>
      </c>
      <c r="L370">
        <v>3</v>
      </c>
      <c r="M370">
        <v>0</v>
      </c>
      <c r="N370">
        <f>D370*Food_DB!$C$2</f>
        <v>150</v>
      </c>
      <c r="O370">
        <f>E370/100*Food_DB!$C$3</f>
        <v>260</v>
      </c>
      <c r="P370">
        <f>F370/30*Food_DB!$C$4</f>
        <v>111</v>
      </c>
      <c r="Q370">
        <f>G370*Food_DB!$C$5</f>
        <v>222</v>
      </c>
      <c r="R370">
        <f>H370/100*Food_DB!$C$6</f>
        <v>12</v>
      </c>
      <c r="S370">
        <f>I370/100*Food_DB!$C$7</f>
        <v>62.5</v>
      </c>
      <c r="T370">
        <f>IFERROR(K370/100*VLOOKUP(J370,Food_DB!$A$2:$F$14,3,FALSE),0)</f>
        <v>550</v>
      </c>
      <c r="U370">
        <f>L370*Food_DB!$C$8</f>
        <v>270</v>
      </c>
      <c r="V370">
        <f t="shared" si="20"/>
        <v>0</v>
      </c>
      <c r="W370">
        <f t="shared" si="21"/>
        <v>1637.5</v>
      </c>
      <c r="X370">
        <f>D370*Food_DB!$D$2+E370/100*Food_DB!$D$3+F370/30*Food_DB!$D$4+G370*Food_DB!$D$5+H370/100*Food_DB!$D$6+I370/100*Food_DB!$D$7+IFERROR(K370/100*VLOOKUP(J370,Food_DB!$A$2:$F$14,4,FALSE),0)+L370*Food_DB!$D$8</f>
        <v>92.999999999999986</v>
      </c>
      <c r="Y370">
        <f>D370*Food_DB!$E$2+E370/100*Food_DB!$E$3+F370/30*Food_DB!$E$4+G370*Food_DB!$E$5+H370/100*Food_DB!$E$6+I370/100*Food_DB!$E$7+IFERROR(K370/100*VLOOKUP(J370,Food_DB!$A$2:$F$14,5,FALSE),0)+L370*Food_DB!$E$8</f>
        <v>63.6</v>
      </c>
      <c r="Z370">
        <f>D370*Food_DB!$F$2+E370/100*Food_DB!$F$3+F370/30*Food_DB!$F$4+G370*Food_DB!$F$5+H370/100*Food_DB!$F$6+I370/100*Food_DB!$F$7+IFERROR(K370/100*VLOOKUP(J370,Food_DB!$A$2:$F$14,6,FALSE),0)+L370*Food_DB!$F$8</f>
        <v>178.15</v>
      </c>
      <c r="AA370">
        <v>6.5</v>
      </c>
      <c r="AB370">
        <v>30</v>
      </c>
      <c r="AC370">
        <v>0</v>
      </c>
      <c r="AD370">
        <v>0</v>
      </c>
      <c r="AE370">
        <f>Dashboard!$B$6*AA370+Dashboard!$B$6*4*AB370/60+Dashboard!$B$6*8*AC370/120+Dashboard!$B$6*7*AD370</f>
        <v>680</v>
      </c>
      <c r="AF370">
        <f>Dashboard!$B$5</f>
        <v>1700</v>
      </c>
      <c r="AG370">
        <f t="shared" si="22"/>
        <v>2720</v>
      </c>
      <c r="AH370">
        <f t="shared" si="23"/>
        <v>-1082.5</v>
      </c>
    </row>
    <row r="371" spans="1:34">
      <c r="A371">
        <v>46547</v>
      </c>
      <c r="B371" t="s">
        <v>92</v>
      </c>
      <c r="C371" t="s">
        <v>89</v>
      </c>
      <c r="D371">
        <v>2</v>
      </c>
      <c r="E371">
        <v>400</v>
      </c>
      <c r="F371">
        <v>30</v>
      </c>
      <c r="G371">
        <v>1</v>
      </c>
      <c r="H371">
        <v>150</v>
      </c>
      <c r="I371">
        <v>250</v>
      </c>
      <c r="J371" t="s">
        <v>85</v>
      </c>
      <c r="K371">
        <v>250</v>
      </c>
      <c r="L371">
        <v>3</v>
      </c>
      <c r="M371">
        <v>0</v>
      </c>
      <c r="N371">
        <f>D371*Food_DB!$C$2</f>
        <v>150</v>
      </c>
      <c r="O371">
        <f>E371/100*Food_DB!$C$3</f>
        <v>260</v>
      </c>
      <c r="P371">
        <f>F371/30*Food_DB!$C$4</f>
        <v>111</v>
      </c>
      <c r="Q371">
        <f>G371*Food_DB!$C$5</f>
        <v>222</v>
      </c>
      <c r="R371">
        <f>H371/100*Food_DB!$C$6</f>
        <v>12</v>
      </c>
      <c r="S371">
        <f>I371/100*Food_DB!$C$7</f>
        <v>62.5</v>
      </c>
      <c r="T371">
        <f>IFERROR(K371/100*VLOOKUP(J371,Food_DB!$A$2:$F$14,3,FALSE),0)</f>
        <v>450</v>
      </c>
      <c r="U371">
        <f>L371*Food_DB!$C$8</f>
        <v>270</v>
      </c>
      <c r="V371">
        <f t="shared" si="20"/>
        <v>0</v>
      </c>
      <c r="W371">
        <f t="shared" si="21"/>
        <v>1537.5</v>
      </c>
      <c r="X371">
        <f>D371*Food_DB!$D$2+E371/100*Food_DB!$D$3+F371/30*Food_DB!$D$4+G371*Food_DB!$D$5+H371/100*Food_DB!$D$6+I371/100*Food_DB!$D$7+IFERROR(K371/100*VLOOKUP(J371,Food_DB!$A$2:$F$14,4,FALSE),0)+L371*Food_DB!$D$8</f>
        <v>92.999999999999986</v>
      </c>
      <c r="Y371">
        <f>D371*Food_DB!$E$2+E371/100*Food_DB!$E$3+F371/30*Food_DB!$E$4+G371*Food_DB!$E$5+H371/100*Food_DB!$E$6+I371/100*Food_DB!$E$7+IFERROR(K371/100*VLOOKUP(J371,Food_DB!$A$2:$F$14,5,FALSE),0)+L371*Food_DB!$E$8</f>
        <v>51.1</v>
      </c>
      <c r="Z371">
        <f>D371*Food_DB!$F$2+E371/100*Food_DB!$F$3+F371/30*Food_DB!$F$4+G371*Food_DB!$F$5+H371/100*Food_DB!$F$6+I371/100*Food_DB!$F$7+IFERROR(K371/100*VLOOKUP(J371,Food_DB!$A$2:$F$14,6,FALSE),0)+L371*Food_DB!$F$8</f>
        <v>178.15</v>
      </c>
      <c r="AA371">
        <v>6.5</v>
      </c>
      <c r="AB371">
        <v>30</v>
      </c>
      <c r="AC371">
        <v>0</v>
      </c>
      <c r="AD371">
        <v>0</v>
      </c>
      <c r="AE371">
        <f>Dashboard!$B$6*AA371+Dashboard!$B$6*4*AB371/60+Dashboard!$B$6*8*AC371/120+Dashboard!$B$6*7*AD371</f>
        <v>680</v>
      </c>
      <c r="AF371">
        <f>Dashboard!$B$5</f>
        <v>1700</v>
      </c>
      <c r="AG371">
        <f t="shared" si="22"/>
        <v>2720</v>
      </c>
      <c r="AH371">
        <f t="shared" si="23"/>
        <v>-1182.5</v>
      </c>
    </row>
  </sheetData>
  <phoneticPr fontId="6"/>
  <conditionalFormatting sqref="AH2:AH371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sqref="C2:C371" xr:uid="{00000000-0002-0000-0100-000001000000}">
      <formula1>"普通,跑步+力量,雨天波比,羽毛球,周五放纵/跑步+力量,休息"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Food_DB!$A$9:$A$14</xm:f>
          </x14:formula1>
          <xm:sqref>J2:J371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1"/>
  <sheetViews>
    <sheetView workbookViewId="0">
      <selection activeCell="B3" sqref="B3"/>
    </sheetView>
  </sheetViews>
  <sheetFormatPr defaultRowHeight="13.8"/>
  <cols>
    <col min="1" max="1" width="6.59765625" customWidth="1"/>
    <col min="2" max="2" width="8.8984375" customWidth="1"/>
    <col min="3" max="3" width="11.796875" customWidth="1"/>
    <col min="4" max="4" width="9.3984375" customWidth="1"/>
    <col min="5" max="5" width="28" customWidth="1"/>
  </cols>
  <sheetData>
    <row r="1" spans="1:5">
      <c r="A1" s="2" t="s">
        <v>46</v>
      </c>
      <c r="B1" s="3" t="s">
        <v>94</v>
      </c>
      <c r="C1" s="3" t="s">
        <v>18</v>
      </c>
      <c r="D1" s="3" t="s">
        <v>95</v>
      </c>
      <c r="E1" s="1" t="s">
        <v>10</v>
      </c>
    </row>
    <row r="2" spans="1:5">
      <c r="A2">
        <v>46178</v>
      </c>
      <c r="B2" s="8">
        <v>80</v>
      </c>
      <c r="C2" s="9">
        <f>IF(COUNT(B2:B2)=0,"",AVERAGE(B2:B2))</f>
        <v>80</v>
      </c>
      <c r="D2" s="8"/>
      <c r="E2" s="8"/>
    </row>
    <row r="3" spans="1:5">
      <c r="A3">
        <v>46179</v>
      </c>
      <c r="B3" s="8"/>
      <c r="C3" s="9">
        <f>IF(COUNT(B2:B3)=0,"",AVERAGE(B2:B3))</f>
        <v>80</v>
      </c>
      <c r="D3" s="8"/>
      <c r="E3" s="8"/>
    </row>
    <row r="4" spans="1:5">
      <c r="A4">
        <v>46180</v>
      </c>
      <c r="B4" s="8"/>
      <c r="C4" s="9">
        <f>IF(COUNT(B2:B4)=0,"",AVERAGE(B2:B4))</f>
        <v>80</v>
      </c>
      <c r="D4" s="8"/>
      <c r="E4" s="8"/>
    </row>
    <row r="5" spans="1:5">
      <c r="A5">
        <v>46181</v>
      </c>
      <c r="B5" s="8"/>
      <c r="C5" s="9">
        <f>IF(COUNT(B2:B5)=0,"",AVERAGE(B2:B5))</f>
        <v>80</v>
      </c>
      <c r="D5" s="8"/>
      <c r="E5" s="8"/>
    </row>
    <row r="6" spans="1:5">
      <c r="A6">
        <v>46182</v>
      </c>
      <c r="B6" s="8"/>
      <c r="C6" s="9">
        <f>IF(COUNT(B2:B6)=0,"",AVERAGE(B2:B6))</f>
        <v>80</v>
      </c>
      <c r="D6" s="8"/>
      <c r="E6" s="8"/>
    </row>
    <row r="7" spans="1:5">
      <c r="A7">
        <v>46183</v>
      </c>
      <c r="B7" s="8"/>
      <c r="C7" s="9">
        <f>IF(COUNT(B2:B7)=0,"",AVERAGE(B2:B7))</f>
        <v>80</v>
      </c>
      <c r="D7" s="8"/>
      <c r="E7" s="8"/>
    </row>
    <row r="8" spans="1:5">
      <c r="A8">
        <v>46184</v>
      </c>
      <c r="B8" s="8"/>
      <c r="C8" s="9">
        <f t="shared" ref="C8:C71" si="0">IF(COUNT(B2:B8)=0,"",AVERAGE(B2:B8))</f>
        <v>80</v>
      </c>
      <c r="D8" s="8"/>
      <c r="E8" s="8"/>
    </row>
    <row r="9" spans="1:5">
      <c r="A9">
        <v>46185</v>
      </c>
      <c r="B9" s="8"/>
      <c r="C9" s="9" t="str">
        <f t="shared" si="0"/>
        <v/>
      </c>
      <c r="D9" s="8"/>
      <c r="E9" s="8"/>
    </row>
    <row r="10" spans="1:5">
      <c r="A10">
        <v>46186</v>
      </c>
      <c r="B10" s="8"/>
      <c r="C10" s="9" t="str">
        <f t="shared" si="0"/>
        <v/>
      </c>
      <c r="D10" s="8"/>
      <c r="E10" s="8"/>
    </row>
    <row r="11" spans="1:5">
      <c r="A11">
        <v>46187</v>
      </c>
      <c r="B11" s="8"/>
      <c r="C11" s="9" t="str">
        <f t="shared" si="0"/>
        <v/>
      </c>
      <c r="D11" s="8"/>
      <c r="E11" s="8"/>
    </row>
    <row r="12" spans="1:5">
      <c r="A12">
        <v>46188</v>
      </c>
      <c r="B12" s="8"/>
      <c r="C12" s="9" t="str">
        <f t="shared" si="0"/>
        <v/>
      </c>
      <c r="D12" s="8"/>
      <c r="E12" s="8"/>
    </row>
    <row r="13" spans="1:5">
      <c r="A13">
        <v>46189</v>
      </c>
      <c r="B13" s="8"/>
      <c r="C13" s="9" t="str">
        <f t="shared" si="0"/>
        <v/>
      </c>
      <c r="D13" s="8"/>
      <c r="E13" s="8"/>
    </row>
    <row r="14" spans="1:5">
      <c r="A14">
        <v>46190</v>
      </c>
      <c r="B14" s="8"/>
      <c r="C14" s="9" t="str">
        <f t="shared" si="0"/>
        <v/>
      </c>
      <c r="D14" s="8"/>
      <c r="E14" s="8"/>
    </row>
    <row r="15" spans="1:5">
      <c r="A15">
        <v>46191</v>
      </c>
      <c r="B15" s="8"/>
      <c r="C15" s="9" t="str">
        <f t="shared" si="0"/>
        <v/>
      </c>
      <c r="D15" s="8"/>
      <c r="E15" s="8"/>
    </row>
    <row r="16" spans="1:5">
      <c r="A16">
        <v>46192</v>
      </c>
      <c r="B16" s="8"/>
      <c r="C16" s="9" t="str">
        <f t="shared" si="0"/>
        <v/>
      </c>
      <c r="D16" s="8"/>
      <c r="E16" s="8"/>
    </row>
    <row r="17" spans="1:5">
      <c r="A17">
        <v>46193</v>
      </c>
      <c r="B17" s="8"/>
      <c r="C17" s="9" t="str">
        <f t="shared" si="0"/>
        <v/>
      </c>
      <c r="D17" s="8"/>
      <c r="E17" s="8"/>
    </row>
    <row r="18" spans="1:5">
      <c r="A18">
        <v>46194</v>
      </c>
      <c r="B18" s="8"/>
      <c r="C18" s="9" t="str">
        <f t="shared" si="0"/>
        <v/>
      </c>
      <c r="D18" s="8"/>
      <c r="E18" s="8"/>
    </row>
    <row r="19" spans="1:5">
      <c r="A19">
        <v>46195</v>
      </c>
      <c r="B19" s="8"/>
      <c r="C19" s="9" t="str">
        <f t="shared" si="0"/>
        <v/>
      </c>
      <c r="D19" s="8"/>
      <c r="E19" s="8"/>
    </row>
    <row r="20" spans="1:5">
      <c r="A20">
        <v>46196</v>
      </c>
      <c r="B20" s="8"/>
      <c r="C20" s="9" t="str">
        <f t="shared" si="0"/>
        <v/>
      </c>
      <c r="D20" s="8"/>
      <c r="E20" s="8"/>
    </row>
    <row r="21" spans="1:5">
      <c r="A21">
        <v>46197</v>
      </c>
      <c r="B21" s="8"/>
      <c r="C21" s="9" t="str">
        <f t="shared" si="0"/>
        <v/>
      </c>
      <c r="D21" s="8"/>
      <c r="E21" s="8"/>
    </row>
    <row r="22" spans="1:5">
      <c r="A22">
        <v>46198</v>
      </c>
      <c r="B22" s="8"/>
      <c r="C22" s="9" t="str">
        <f t="shared" si="0"/>
        <v/>
      </c>
      <c r="D22" s="8"/>
      <c r="E22" s="8"/>
    </row>
    <row r="23" spans="1:5">
      <c r="A23">
        <v>46199</v>
      </c>
      <c r="B23" s="8"/>
      <c r="C23" s="9" t="str">
        <f t="shared" si="0"/>
        <v/>
      </c>
      <c r="D23" s="8"/>
      <c r="E23" s="8"/>
    </row>
    <row r="24" spans="1:5">
      <c r="A24">
        <v>46200</v>
      </c>
      <c r="B24" s="8"/>
      <c r="C24" s="9" t="str">
        <f t="shared" si="0"/>
        <v/>
      </c>
      <c r="D24" s="8"/>
      <c r="E24" s="8"/>
    </row>
    <row r="25" spans="1:5">
      <c r="A25">
        <v>46201</v>
      </c>
      <c r="B25" s="8"/>
      <c r="C25" s="9" t="str">
        <f t="shared" si="0"/>
        <v/>
      </c>
      <c r="D25" s="8"/>
      <c r="E25" s="8"/>
    </row>
    <row r="26" spans="1:5">
      <c r="A26">
        <v>46202</v>
      </c>
      <c r="B26" s="8"/>
      <c r="C26" s="9" t="str">
        <f t="shared" si="0"/>
        <v/>
      </c>
      <c r="D26" s="8"/>
      <c r="E26" s="8"/>
    </row>
    <row r="27" spans="1:5">
      <c r="A27">
        <v>46203</v>
      </c>
      <c r="B27" s="8"/>
      <c r="C27" s="9" t="str">
        <f t="shared" si="0"/>
        <v/>
      </c>
      <c r="D27" s="8"/>
      <c r="E27" s="8"/>
    </row>
    <row r="28" spans="1:5">
      <c r="A28">
        <v>46204</v>
      </c>
      <c r="B28" s="8"/>
      <c r="C28" s="9" t="str">
        <f t="shared" si="0"/>
        <v/>
      </c>
      <c r="D28" s="8"/>
      <c r="E28" s="8"/>
    </row>
    <row r="29" spans="1:5">
      <c r="A29">
        <v>46205</v>
      </c>
      <c r="B29" s="8"/>
      <c r="C29" s="9" t="str">
        <f t="shared" si="0"/>
        <v/>
      </c>
      <c r="D29" s="8"/>
      <c r="E29" s="8"/>
    </row>
    <row r="30" spans="1:5">
      <c r="A30">
        <v>46206</v>
      </c>
      <c r="B30" s="8"/>
      <c r="C30" s="9" t="str">
        <f t="shared" si="0"/>
        <v/>
      </c>
      <c r="D30" s="8"/>
      <c r="E30" s="8"/>
    </row>
    <row r="31" spans="1:5">
      <c r="A31">
        <v>46207</v>
      </c>
      <c r="B31" s="8"/>
      <c r="C31" s="9" t="str">
        <f t="shared" si="0"/>
        <v/>
      </c>
      <c r="D31" s="8"/>
      <c r="E31" s="8"/>
    </row>
    <row r="32" spans="1:5">
      <c r="A32">
        <v>46208</v>
      </c>
      <c r="B32" s="8"/>
      <c r="C32" s="9" t="str">
        <f t="shared" si="0"/>
        <v/>
      </c>
      <c r="D32" s="8"/>
      <c r="E32" s="8"/>
    </row>
    <row r="33" spans="1:5">
      <c r="A33">
        <v>46209</v>
      </c>
      <c r="B33" s="8"/>
      <c r="C33" s="9" t="str">
        <f t="shared" si="0"/>
        <v/>
      </c>
      <c r="D33" s="8"/>
      <c r="E33" s="8"/>
    </row>
    <row r="34" spans="1:5">
      <c r="A34">
        <v>46210</v>
      </c>
      <c r="B34" s="8"/>
      <c r="C34" s="9" t="str">
        <f t="shared" si="0"/>
        <v/>
      </c>
      <c r="D34" s="8"/>
      <c r="E34" s="8"/>
    </row>
    <row r="35" spans="1:5">
      <c r="A35">
        <v>46211</v>
      </c>
      <c r="B35" s="8"/>
      <c r="C35" s="9" t="str">
        <f t="shared" si="0"/>
        <v/>
      </c>
      <c r="D35" s="8"/>
      <c r="E35" s="8"/>
    </row>
    <row r="36" spans="1:5">
      <c r="A36">
        <v>46212</v>
      </c>
      <c r="B36" s="8"/>
      <c r="C36" s="9" t="str">
        <f t="shared" si="0"/>
        <v/>
      </c>
      <c r="D36" s="8"/>
      <c r="E36" s="8"/>
    </row>
    <row r="37" spans="1:5">
      <c r="A37">
        <v>46213</v>
      </c>
      <c r="B37" s="8"/>
      <c r="C37" s="9" t="str">
        <f t="shared" si="0"/>
        <v/>
      </c>
      <c r="D37" s="8"/>
      <c r="E37" s="8"/>
    </row>
    <row r="38" spans="1:5">
      <c r="A38">
        <v>46214</v>
      </c>
      <c r="B38" s="8"/>
      <c r="C38" s="9" t="str">
        <f t="shared" si="0"/>
        <v/>
      </c>
      <c r="D38" s="8"/>
      <c r="E38" s="8"/>
    </row>
    <row r="39" spans="1:5">
      <c r="A39">
        <v>46215</v>
      </c>
      <c r="B39" s="8"/>
      <c r="C39" s="9" t="str">
        <f t="shared" si="0"/>
        <v/>
      </c>
      <c r="D39" s="8"/>
      <c r="E39" s="8"/>
    </row>
    <row r="40" spans="1:5">
      <c r="A40">
        <v>46216</v>
      </c>
      <c r="B40" s="8"/>
      <c r="C40" s="9" t="str">
        <f t="shared" si="0"/>
        <v/>
      </c>
      <c r="D40" s="8"/>
      <c r="E40" s="8"/>
    </row>
    <row r="41" spans="1:5">
      <c r="A41">
        <v>46217</v>
      </c>
      <c r="B41" s="8"/>
      <c r="C41" s="9" t="str">
        <f t="shared" si="0"/>
        <v/>
      </c>
      <c r="D41" s="8"/>
      <c r="E41" s="8"/>
    </row>
    <row r="42" spans="1:5">
      <c r="A42">
        <v>46218</v>
      </c>
      <c r="B42" s="8"/>
      <c r="C42" s="9" t="str">
        <f t="shared" si="0"/>
        <v/>
      </c>
      <c r="D42" s="8"/>
      <c r="E42" s="8"/>
    </row>
    <row r="43" spans="1:5">
      <c r="A43">
        <v>46219</v>
      </c>
      <c r="B43" s="8"/>
      <c r="C43" s="9" t="str">
        <f t="shared" si="0"/>
        <v/>
      </c>
      <c r="D43" s="8"/>
      <c r="E43" s="8"/>
    </row>
    <row r="44" spans="1:5">
      <c r="A44">
        <v>46220</v>
      </c>
      <c r="B44" s="8"/>
      <c r="C44" s="9" t="str">
        <f t="shared" si="0"/>
        <v/>
      </c>
      <c r="D44" s="8"/>
      <c r="E44" s="8"/>
    </row>
    <row r="45" spans="1:5">
      <c r="A45">
        <v>46221</v>
      </c>
      <c r="B45" s="8"/>
      <c r="C45" s="9" t="str">
        <f t="shared" si="0"/>
        <v/>
      </c>
      <c r="D45" s="8"/>
      <c r="E45" s="8"/>
    </row>
    <row r="46" spans="1:5">
      <c r="A46">
        <v>46222</v>
      </c>
      <c r="B46" s="8"/>
      <c r="C46" s="9" t="str">
        <f t="shared" si="0"/>
        <v/>
      </c>
      <c r="D46" s="8"/>
      <c r="E46" s="8"/>
    </row>
    <row r="47" spans="1:5">
      <c r="A47">
        <v>46223</v>
      </c>
      <c r="B47" s="8"/>
      <c r="C47" s="9" t="str">
        <f t="shared" si="0"/>
        <v/>
      </c>
      <c r="D47" s="8"/>
      <c r="E47" s="8"/>
    </row>
    <row r="48" spans="1:5">
      <c r="A48">
        <v>46224</v>
      </c>
      <c r="B48" s="8"/>
      <c r="C48" s="9" t="str">
        <f t="shared" si="0"/>
        <v/>
      </c>
      <c r="D48" s="8"/>
      <c r="E48" s="8"/>
    </row>
    <row r="49" spans="1:5">
      <c r="A49">
        <v>46225</v>
      </c>
      <c r="B49" s="8"/>
      <c r="C49" s="9" t="str">
        <f t="shared" si="0"/>
        <v/>
      </c>
      <c r="D49" s="8"/>
      <c r="E49" s="8"/>
    </row>
    <row r="50" spans="1:5">
      <c r="A50">
        <v>46226</v>
      </c>
      <c r="B50" s="8"/>
      <c r="C50" s="9" t="str">
        <f t="shared" si="0"/>
        <v/>
      </c>
      <c r="D50" s="8"/>
      <c r="E50" s="8"/>
    </row>
    <row r="51" spans="1:5">
      <c r="A51">
        <v>46227</v>
      </c>
      <c r="B51" s="8"/>
      <c r="C51" s="9" t="str">
        <f t="shared" si="0"/>
        <v/>
      </c>
      <c r="D51" s="8"/>
      <c r="E51" s="8"/>
    </row>
    <row r="52" spans="1:5">
      <c r="A52">
        <v>46228</v>
      </c>
      <c r="B52" s="8"/>
      <c r="C52" s="9" t="str">
        <f t="shared" si="0"/>
        <v/>
      </c>
      <c r="D52" s="8"/>
      <c r="E52" s="8"/>
    </row>
    <row r="53" spans="1:5">
      <c r="A53">
        <v>46229</v>
      </c>
      <c r="B53" s="8"/>
      <c r="C53" s="9" t="str">
        <f t="shared" si="0"/>
        <v/>
      </c>
      <c r="D53" s="8"/>
      <c r="E53" s="8"/>
    </row>
    <row r="54" spans="1:5">
      <c r="A54">
        <v>46230</v>
      </c>
      <c r="B54" s="8"/>
      <c r="C54" s="9" t="str">
        <f t="shared" si="0"/>
        <v/>
      </c>
      <c r="D54" s="8"/>
      <c r="E54" s="8"/>
    </row>
    <row r="55" spans="1:5">
      <c r="A55">
        <v>46231</v>
      </c>
      <c r="B55" s="8"/>
      <c r="C55" s="9" t="str">
        <f t="shared" si="0"/>
        <v/>
      </c>
      <c r="D55" s="8"/>
      <c r="E55" s="8"/>
    </row>
    <row r="56" spans="1:5">
      <c r="A56">
        <v>46232</v>
      </c>
      <c r="B56" s="8"/>
      <c r="C56" s="9" t="str">
        <f t="shared" si="0"/>
        <v/>
      </c>
      <c r="D56" s="8"/>
      <c r="E56" s="8"/>
    </row>
    <row r="57" spans="1:5">
      <c r="A57">
        <v>46233</v>
      </c>
      <c r="B57" s="8"/>
      <c r="C57" s="9" t="str">
        <f t="shared" si="0"/>
        <v/>
      </c>
      <c r="D57" s="8"/>
      <c r="E57" s="8"/>
    </row>
    <row r="58" spans="1:5">
      <c r="A58">
        <v>46234</v>
      </c>
      <c r="B58" s="8"/>
      <c r="C58" s="9" t="str">
        <f t="shared" si="0"/>
        <v/>
      </c>
      <c r="D58" s="8"/>
      <c r="E58" s="8"/>
    </row>
    <row r="59" spans="1:5">
      <c r="A59">
        <v>46235</v>
      </c>
      <c r="B59" s="8"/>
      <c r="C59" s="9" t="str">
        <f t="shared" si="0"/>
        <v/>
      </c>
      <c r="D59" s="8"/>
      <c r="E59" s="8"/>
    </row>
    <row r="60" spans="1:5">
      <c r="A60">
        <v>46236</v>
      </c>
      <c r="B60" s="8"/>
      <c r="C60" s="9" t="str">
        <f t="shared" si="0"/>
        <v/>
      </c>
      <c r="D60" s="8"/>
      <c r="E60" s="8"/>
    </row>
    <row r="61" spans="1:5">
      <c r="A61">
        <v>46237</v>
      </c>
      <c r="B61" s="8"/>
      <c r="C61" s="9" t="str">
        <f t="shared" si="0"/>
        <v/>
      </c>
      <c r="D61" s="8"/>
      <c r="E61" s="8"/>
    </row>
    <row r="62" spans="1:5">
      <c r="A62">
        <v>46238</v>
      </c>
      <c r="B62" s="8"/>
      <c r="C62" s="9" t="str">
        <f t="shared" si="0"/>
        <v/>
      </c>
      <c r="D62" s="8"/>
      <c r="E62" s="8"/>
    </row>
    <row r="63" spans="1:5">
      <c r="A63">
        <v>46239</v>
      </c>
      <c r="B63" s="8"/>
      <c r="C63" s="9" t="str">
        <f t="shared" si="0"/>
        <v/>
      </c>
      <c r="D63" s="8"/>
      <c r="E63" s="8"/>
    </row>
    <row r="64" spans="1:5">
      <c r="A64">
        <v>46240</v>
      </c>
      <c r="B64" s="8"/>
      <c r="C64" s="9" t="str">
        <f t="shared" si="0"/>
        <v/>
      </c>
      <c r="D64" s="8"/>
      <c r="E64" s="8"/>
    </row>
    <row r="65" spans="1:5">
      <c r="A65">
        <v>46241</v>
      </c>
      <c r="B65" s="8"/>
      <c r="C65" s="9" t="str">
        <f t="shared" si="0"/>
        <v/>
      </c>
      <c r="D65" s="8"/>
      <c r="E65" s="8"/>
    </row>
    <row r="66" spans="1:5">
      <c r="A66">
        <v>46242</v>
      </c>
      <c r="B66" s="8"/>
      <c r="C66" s="9" t="str">
        <f t="shared" si="0"/>
        <v/>
      </c>
      <c r="D66" s="8"/>
      <c r="E66" s="8"/>
    </row>
    <row r="67" spans="1:5">
      <c r="A67">
        <v>46243</v>
      </c>
      <c r="B67" s="8"/>
      <c r="C67" s="9" t="str">
        <f t="shared" si="0"/>
        <v/>
      </c>
      <c r="D67" s="8"/>
      <c r="E67" s="8"/>
    </row>
    <row r="68" spans="1:5">
      <c r="A68">
        <v>46244</v>
      </c>
      <c r="B68" s="8"/>
      <c r="C68" s="9" t="str">
        <f t="shared" si="0"/>
        <v/>
      </c>
      <c r="D68" s="8"/>
      <c r="E68" s="8"/>
    </row>
    <row r="69" spans="1:5">
      <c r="A69">
        <v>46245</v>
      </c>
      <c r="B69" s="8"/>
      <c r="C69" s="9" t="str">
        <f t="shared" si="0"/>
        <v/>
      </c>
      <c r="D69" s="8"/>
      <c r="E69" s="8"/>
    </row>
    <row r="70" spans="1:5">
      <c r="A70">
        <v>46246</v>
      </c>
      <c r="B70" s="8"/>
      <c r="C70" s="9" t="str">
        <f t="shared" si="0"/>
        <v/>
      </c>
      <c r="D70" s="8"/>
      <c r="E70" s="8"/>
    </row>
    <row r="71" spans="1:5">
      <c r="A71">
        <v>46247</v>
      </c>
      <c r="B71" s="8"/>
      <c r="C71" s="9" t="str">
        <f t="shared" si="0"/>
        <v/>
      </c>
      <c r="D71" s="8"/>
      <c r="E71" s="8"/>
    </row>
    <row r="72" spans="1:5">
      <c r="A72">
        <v>46248</v>
      </c>
      <c r="B72" s="8"/>
      <c r="C72" s="9" t="str">
        <f t="shared" ref="C72:C135" si="1">IF(COUNT(B66:B72)=0,"",AVERAGE(B66:B72))</f>
        <v/>
      </c>
      <c r="D72" s="8"/>
      <c r="E72" s="8"/>
    </row>
    <row r="73" spans="1:5">
      <c r="A73">
        <v>46249</v>
      </c>
      <c r="B73" s="8"/>
      <c r="C73" s="9" t="str">
        <f t="shared" si="1"/>
        <v/>
      </c>
      <c r="D73" s="8"/>
      <c r="E73" s="8"/>
    </row>
    <row r="74" spans="1:5">
      <c r="A74">
        <v>46250</v>
      </c>
      <c r="B74" s="8"/>
      <c r="C74" s="9" t="str">
        <f t="shared" si="1"/>
        <v/>
      </c>
      <c r="D74" s="8"/>
      <c r="E74" s="8"/>
    </row>
    <row r="75" spans="1:5">
      <c r="A75">
        <v>46251</v>
      </c>
      <c r="B75" s="8"/>
      <c r="C75" s="9" t="str">
        <f t="shared" si="1"/>
        <v/>
      </c>
      <c r="D75" s="8"/>
      <c r="E75" s="8"/>
    </row>
    <row r="76" spans="1:5">
      <c r="A76">
        <v>46252</v>
      </c>
      <c r="B76" s="8"/>
      <c r="C76" s="9" t="str">
        <f t="shared" si="1"/>
        <v/>
      </c>
      <c r="D76" s="8"/>
      <c r="E76" s="8"/>
    </row>
    <row r="77" spans="1:5">
      <c r="A77">
        <v>46253</v>
      </c>
      <c r="B77" s="8"/>
      <c r="C77" s="9" t="str">
        <f t="shared" si="1"/>
        <v/>
      </c>
      <c r="D77" s="8"/>
      <c r="E77" s="8"/>
    </row>
    <row r="78" spans="1:5">
      <c r="A78">
        <v>46254</v>
      </c>
      <c r="B78" s="8"/>
      <c r="C78" s="9" t="str">
        <f t="shared" si="1"/>
        <v/>
      </c>
      <c r="D78" s="8"/>
      <c r="E78" s="8"/>
    </row>
    <row r="79" spans="1:5">
      <c r="A79">
        <v>46255</v>
      </c>
      <c r="B79" s="8"/>
      <c r="C79" s="9" t="str">
        <f t="shared" si="1"/>
        <v/>
      </c>
      <c r="D79" s="8"/>
      <c r="E79" s="8"/>
    </row>
    <row r="80" spans="1:5">
      <c r="A80">
        <v>46256</v>
      </c>
      <c r="B80" s="8"/>
      <c r="C80" s="9" t="str">
        <f t="shared" si="1"/>
        <v/>
      </c>
      <c r="D80" s="8"/>
      <c r="E80" s="8"/>
    </row>
    <row r="81" spans="1:5">
      <c r="A81">
        <v>46257</v>
      </c>
      <c r="B81" s="8"/>
      <c r="C81" s="9" t="str">
        <f t="shared" si="1"/>
        <v/>
      </c>
      <c r="D81" s="8"/>
      <c r="E81" s="8"/>
    </row>
    <row r="82" spans="1:5">
      <c r="A82">
        <v>46258</v>
      </c>
      <c r="B82" s="8"/>
      <c r="C82" s="9" t="str">
        <f t="shared" si="1"/>
        <v/>
      </c>
      <c r="D82" s="8"/>
      <c r="E82" s="8"/>
    </row>
    <row r="83" spans="1:5">
      <c r="A83">
        <v>46259</v>
      </c>
      <c r="B83" s="8"/>
      <c r="C83" s="9" t="str">
        <f t="shared" si="1"/>
        <v/>
      </c>
      <c r="D83" s="8"/>
      <c r="E83" s="8"/>
    </row>
    <row r="84" spans="1:5">
      <c r="A84">
        <v>46260</v>
      </c>
      <c r="B84" s="8"/>
      <c r="C84" s="9" t="str">
        <f t="shared" si="1"/>
        <v/>
      </c>
      <c r="D84" s="8"/>
      <c r="E84" s="8"/>
    </row>
    <row r="85" spans="1:5">
      <c r="A85">
        <v>46261</v>
      </c>
      <c r="B85" s="8"/>
      <c r="C85" s="9" t="str">
        <f t="shared" si="1"/>
        <v/>
      </c>
      <c r="D85" s="8"/>
      <c r="E85" s="8"/>
    </row>
    <row r="86" spans="1:5">
      <c r="A86">
        <v>46262</v>
      </c>
      <c r="B86" s="8"/>
      <c r="C86" s="9" t="str">
        <f t="shared" si="1"/>
        <v/>
      </c>
      <c r="D86" s="8"/>
      <c r="E86" s="8"/>
    </row>
    <row r="87" spans="1:5">
      <c r="A87">
        <v>46263</v>
      </c>
      <c r="B87" s="8"/>
      <c r="C87" s="9" t="str">
        <f t="shared" si="1"/>
        <v/>
      </c>
      <c r="D87" s="8"/>
      <c r="E87" s="8"/>
    </row>
    <row r="88" spans="1:5">
      <c r="A88">
        <v>46264</v>
      </c>
      <c r="B88" s="8"/>
      <c r="C88" s="9" t="str">
        <f t="shared" si="1"/>
        <v/>
      </c>
      <c r="D88" s="8"/>
      <c r="E88" s="8"/>
    </row>
    <row r="89" spans="1:5">
      <c r="A89">
        <v>46265</v>
      </c>
      <c r="B89" s="8"/>
      <c r="C89" s="9" t="str">
        <f t="shared" si="1"/>
        <v/>
      </c>
      <c r="D89" s="8"/>
      <c r="E89" s="8"/>
    </row>
    <row r="90" spans="1:5">
      <c r="A90">
        <v>46266</v>
      </c>
      <c r="B90" s="8"/>
      <c r="C90" s="9" t="str">
        <f t="shared" si="1"/>
        <v/>
      </c>
      <c r="D90" s="8"/>
      <c r="E90" s="8"/>
    </row>
    <row r="91" spans="1:5">
      <c r="A91">
        <v>46267</v>
      </c>
      <c r="B91" s="8"/>
      <c r="C91" s="9" t="str">
        <f t="shared" si="1"/>
        <v/>
      </c>
      <c r="D91" s="8"/>
      <c r="E91" s="8"/>
    </row>
    <row r="92" spans="1:5">
      <c r="A92">
        <v>46268</v>
      </c>
      <c r="B92" s="8"/>
      <c r="C92" s="9" t="str">
        <f t="shared" si="1"/>
        <v/>
      </c>
      <c r="D92" s="8"/>
      <c r="E92" s="8"/>
    </row>
    <row r="93" spans="1:5">
      <c r="A93">
        <v>46269</v>
      </c>
      <c r="B93" s="8"/>
      <c r="C93" s="9" t="str">
        <f t="shared" si="1"/>
        <v/>
      </c>
      <c r="D93" s="8"/>
      <c r="E93" s="8"/>
    </row>
    <row r="94" spans="1:5">
      <c r="A94">
        <v>46270</v>
      </c>
      <c r="B94" s="8"/>
      <c r="C94" s="9" t="str">
        <f t="shared" si="1"/>
        <v/>
      </c>
      <c r="D94" s="8"/>
      <c r="E94" s="8"/>
    </row>
    <row r="95" spans="1:5">
      <c r="A95">
        <v>46271</v>
      </c>
      <c r="B95" s="8"/>
      <c r="C95" s="9" t="str">
        <f t="shared" si="1"/>
        <v/>
      </c>
      <c r="D95" s="8"/>
      <c r="E95" s="8"/>
    </row>
    <row r="96" spans="1:5">
      <c r="A96">
        <v>46272</v>
      </c>
      <c r="B96" s="8"/>
      <c r="C96" s="9" t="str">
        <f t="shared" si="1"/>
        <v/>
      </c>
      <c r="D96" s="8"/>
      <c r="E96" s="8"/>
    </row>
    <row r="97" spans="1:5">
      <c r="A97">
        <v>46273</v>
      </c>
      <c r="B97" s="8"/>
      <c r="C97" s="9" t="str">
        <f t="shared" si="1"/>
        <v/>
      </c>
      <c r="D97" s="8"/>
      <c r="E97" s="8"/>
    </row>
    <row r="98" spans="1:5">
      <c r="A98">
        <v>46274</v>
      </c>
      <c r="B98" s="8"/>
      <c r="C98" s="9" t="str">
        <f t="shared" si="1"/>
        <v/>
      </c>
      <c r="D98" s="8"/>
      <c r="E98" s="8"/>
    </row>
    <row r="99" spans="1:5">
      <c r="A99">
        <v>46275</v>
      </c>
      <c r="B99" s="8"/>
      <c r="C99" s="9" t="str">
        <f t="shared" si="1"/>
        <v/>
      </c>
      <c r="D99" s="8"/>
      <c r="E99" s="8"/>
    </row>
    <row r="100" spans="1:5">
      <c r="A100">
        <v>46276</v>
      </c>
      <c r="B100" s="8"/>
      <c r="C100" s="9" t="str">
        <f t="shared" si="1"/>
        <v/>
      </c>
      <c r="D100" s="8"/>
      <c r="E100" s="8"/>
    </row>
    <row r="101" spans="1:5">
      <c r="A101">
        <v>46277</v>
      </c>
      <c r="B101" s="8"/>
      <c r="C101" s="9" t="str">
        <f t="shared" si="1"/>
        <v/>
      </c>
      <c r="D101" s="8"/>
      <c r="E101" s="8"/>
    </row>
    <row r="102" spans="1:5">
      <c r="A102">
        <v>46278</v>
      </c>
      <c r="B102" s="8"/>
      <c r="C102" s="9" t="str">
        <f t="shared" si="1"/>
        <v/>
      </c>
      <c r="D102" s="8"/>
      <c r="E102" s="8"/>
    </row>
    <row r="103" spans="1:5">
      <c r="A103">
        <v>46279</v>
      </c>
      <c r="B103" s="8"/>
      <c r="C103" s="9" t="str">
        <f t="shared" si="1"/>
        <v/>
      </c>
      <c r="D103" s="8"/>
      <c r="E103" s="8"/>
    </row>
    <row r="104" spans="1:5">
      <c r="A104">
        <v>46280</v>
      </c>
      <c r="B104" s="8"/>
      <c r="C104" s="9" t="str">
        <f t="shared" si="1"/>
        <v/>
      </c>
      <c r="D104" s="8"/>
      <c r="E104" s="8"/>
    </row>
    <row r="105" spans="1:5">
      <c r="A105">
        <v>46281</v>
      </c>
      <c r="B105" s="8"/>
      <c r="C105" s="9" t="str">
        <f t="shared" si="1"/>
        <v/>
      </c>
      <c r="D105" s="8"/>
      <c r="E105" s="8"/>
    </row>
    <row r="106" spans="1:5">
      <c r="A106">
        <v>46282</v>
      </c>
      <c r="B106" s="8"/>
      <c r="C106" s="9" t="str">
        <f t="shared" si="1"/>
        <v/>
      </c>
      <c r="D106" s="8"/>
      <c r="E106" s="8"/>
    </row>
    <row r="107" spans="1:5">
      <c r="A107">
        <v>46283</v>
      </c>
      <c r="B107" s="8"/>
      <c r="C107" s="9" t="str">
        <f t="shared" si="1"/>
        <v/>
      </c>
      <c r="D107" s="8"/>
      <c r="E107" s="8"/>
    </row>
    <row r="108" spans="1:5">
      <c r="A108">
        <v>46284</v>
      </c>
      <c r="B108" s="8"/>
      <c r="C108" s="9" t="str">
        <f t="shared" si="1"/>
        <v/>
      </c>
      <c r="D108" s="8"/>
      <c r="E108" s="8"/>
    </row>
    <row r="109" spans="1:5">
      <c r="A109">
        <v>46285</v>
      </c>
      <c r="B109" s="8"/>
      <c r="C109" s="9" t="str">
        <f t="shared" si="1"/>
        <v/>
      </c>
      <c r="D109" s="8"/>
      <c r="E109" s="8"/>
    </row>
    <row r="110" spans="1:5">
      <c r="A110">
        <v>46286</v>
      </c>
      <c r="B110" s="8"/>
      <c r="C110" s="9" t="str">
        <f t="shared" si="1"/>
        <v/>
      </c>
      <c r="D110" s="8"/>
      <c r="E110" s="8"/>
    </row>
    <row r="111" spans="1:5">
      <c r="A111">
        <v>46287</v>
      </c>
      <c r="B111" s="8"/>
      <c r="C111" s="9" t="str">
        <f t="shared" si="1"/>
        <v/>
      </c>
      <c r="D111" s="8"/>
      <c r="E111" s="8"/>
    </row>
    <row r="112" spans="1:5">
      <c r="A112">
        <v>46288</v>
      </c>
      <c r="B112" s="8"/>
      <c r="C112" s="9" t="str">
        <f t="shared" si="1"/>
        <v/>
      </c>
      <c r="D112" s="8"/>
      <c r="E112" s="8"/>
    </row>
    <row r="113" spans="1:5">
      <c r="A113">
        <v>46289</v>
      </c>
      <c r="B113" s="8"/>
      <c r="C113" s="9" t="str">
        <f t="shared" si="1"/>
        <v/>
      </c>
      <c r="D113" s="8"/>
      <c r="E113" s="8"/>
    </row>
    <row r="114" spans="1:5">
      <c r="A114">
        <v>46290</v>
      </c>
      <c r="B114" s="8"/>
      <c r="C114" s="9" t="str">
        <f t="shared" si="1"/>
        <v/>
      </c>
      <c r="D114" s="8"/>
      <c r="E114" s="8"/>
    </row>
    <row r="115" spans="1:5">
      <c r="A115">
        <v>46291</v>
      </c>
      <c r="B115" s="8"/>
      <c r="C115" s="9" t="str">
        <f t="shared" si="1"/>
        <v/>
      </c>
      <c r="D115" s="8"/>
      <c r="E115" s="8"/>
    </row>
    <row r="116" spans="1:5">
      <c r="A116">
        <v>46292</v>
      </c>
      <c r="B116" s="8"/>
      <c r="C116" s="9" t="str">
        <f t="shared" si="1"/>
        <v/>
      </c>
      <c r="D116" s="8"/>
      <c r="E116" s="8"/>
    </row>
    <row r="117" spans="1:5">
      <c r="A117">
        <v>46293</v>
      </c>
      <c r="B117" s="8"/>
      <c r="C117" s="9" t="str">
        <f t="shared" si="1"/>
        <v/>
      </c>
      <c r="D117" s="8"/>
      <c r="E117" s="8"/>
    </row>
    <row r="118" spans="1:5">
      <c r="A118">
        <v>46294</v>
      </c>
      <c r="B118" s="8"/>
      <c r="C118" s="9" t="str">
        <f t="shared" si="1"/>
        <v/>
      </c>
      <c r="D118" s="8"/>
      <c r="E118" s="8"/>
    </row>
    <row r="119" spans="1:5">
      <c r="A119">
        <v>46295</v>
      </c>
      <c r="B119" s="8"/>
      <c r="C119" s="9" t="str">
        <f t="shared" si="1"/>
        <v/>
      </c>
      <c r="D119" s="8"/>
      <c r="E119" s="8"/>
    </row>
    <row r="120" spans="1:5">
      <c r="A120">
        <v>46296</v>
      </c>
      <c r="B120" s="8"/>
      <c r="C120" s="9" t="str">
        <f t="shared" si="1"/>
        <v/>
      </c>
      <c r="D120" s="8"/>
      <c r="E120" s="8"/>
    </row>
    <row r="121" spans="1:5">
      <c r="A121">
        <v>46297</v>
      </c>
      <c r="B121" s="8"/>
      <c r="C121" s="9" t="str">
        <f t="shared" si="1"/>
        <v/>
      </c>
      <c r="D121" s="8"/>
      <c r="E121" s="8"/>
    </row>
    <row r="122" spans="1:5">
      <c r="A122">
        <v>46298</v>
      </c>
      <c r="B122" s="8"/>
      <c r="C122" s="9" t="str">
        <f t="shared" si="1"/>
        <v/>
      </c>
      <c r="D122" s="8"/>
      <c r="E122" s="8"/>
    </row>
    <row r="123" spans="1:5">
      <c r="A123">
        <v>46299</v>
      </c>
      <c r="B123" s="8"/>
      <c r="C123" s="9" t="str">
        <f t="shared" si="1"/>
        <v/>
      </c>
      <c r="D123" s="8"/>
      <c r="E123" s="8"/>
    </row>
    <row r="124" spans="1:5">
      <c r="A124">
        <v>46300</v>
      </c>
      <c r="B124" s="8"/>
      <c r="C124" s="9" t="str">
        <f t="shared" si="1"/>
        <v/>
      </c>
      <c r="D124" s="8"/>
      <c r="E124" s="8"/>
    </row>
    <row r="125" spans="1:5">
      <c r="A125">
        <v>46301</v>
      </c>
      <c r="B125" s="8"/>
      <c r="C125" s="9" t="str">
        <f t="shared" si="1"/>
        <v/>
      </c>
      <c r="D125" s="8"/>
      <c r="E125" s="8"/>
    </row>
    <row r="126" spans="1:5">
      <c r="A126">
        <v>46302</v>
      </c>
      <c r="B126" s="8"/>
      <c r="C126" s="9" t="str">
        <f t="shared" si="1"/>
        <v/>
      </c>
      <c r="D126" s="8"/>
      <c r="E126" s="8"/>
    </row>
    <row r="127" spans="1:5">
      <c r="A127">
        <v>46303</v>
      </c>
      <c r="B127" s="8"/>
      <c r="C127" s="9" t="str">
        <f t="shared" si="1"/>
        <v/>
      </c>
      <c r="D127" s="8"/>
      <c r="E127" s="8"/>
    </row>
    <row r="128" spans="1:5">
      <c r="A128">
        <v>46304</v>
      </c>
      <c r="B128" s="8"/>
      <c r="C128" s="9" t="str">
        <f t="shared" si="1"/>
        <v/>
      </c>
      <c r="D128" s="8"/>
      <c r="E128" s="8"/>
    </row>
    <row r="129" spans="1:5">
      <c r="A129">
        <v>46305</v>
      </c>
      <c r="B129" s="8"/>
      <c r="C129" s="9" t="str">
        <f t="shared" si="1"/>
        <v/>
      </c>
      <c r="D129" s="8"/>
      <c r="E129" s="8"/>
    </row>
    <row r="130" spans="1:5">
      <c r="A130">
        <v>46306</v>
      </c>
      <c r="B130" s="8"/>
      <c r="C130" s="9" t="str">
        <f t="shared" si="1"/>
        <v/>
      </c>
      <c r="D130" s="8"/>
      <c r="E130" s="8"/>
    </row>
    <row r="131" spans="1:5">
      <c r="A131">
        <v>46307</v>
      </c>
      <c r="B131" s="8"/>
      <c r="C131" s="9" t="str">
        <f t="shared" si="1"/>
        <v/>
      </c>
      <c r="D131" s="8"/>
      <c r="E131" s="8"/>
    </row>
    <row r="132" spans="1:5">
      <c r="A132">
        <v>46308</v>
      </c>
      <c r="B132" s="8"/>
      <c r="C132" s="9" t="str">
        <f t="shared" si="1"/>
        <v/>
      </c>
      <c r="D132" s="8"/>
      <c r="E132" s="8"/>
    </row>
    <row r="133" spans="1:5">
      <c r="A133">
        <v>46309</v>
      </c>
      <c r="B133" s="8"/>
      <c r="C133" s="9" t="str">
        <f t="shared" si="1"/>
        <v/>
      </c>
      <c r="D133" s="8"/>
      <c r="E133" s="8"/>
    </row>
    <row r="134" spans="1:5">
      <c r="A134">
        <v>46310</v>
      </c>
      <c r="B134" s="8"/>
      <c r="C134" s="9" t="str">
        <f t="shared" si="1"/>
        <v/>
      </c>
      <c r="D134" s="8"/>
      <c r="E134" s="8"/>
    </row>
    <row r="135" spans="1:5">
      <c r="A135">
        <v>46311</v>
      </c>
      <c r="B135" s="8"/>
      <c r="C135" s="9" t="str">
        <f t="shared" si="1"/>
        <v/>
      </c>
      <c r="D135" s="8"/>
      <c r="E135" s="8"/>
    </row>
    <row r="136" spans="1:5">
      <c r="A136">
        <v>46312</v>
      </c>
      <c r="B136" s="8"/>
      <c r="C136" s="9" t="str">
        <f t="shared" ref="C136:C199" si="2">IF(COUNT(B130:B136)=0,"",AVERAGE(B130:B136))</f>
        <v/>
      </c>
      <c r="D136" s="8"/>
      <c r="E136" s="8"/>
    </row>
    <row r="137" spans="1:5">
      <c r="A137">
        <v>46313</v>
      </c>
      <c r="B137" s="8"/>
      <c r="C137" s="9" t="str">
        <f t="shared" si="2"/>
        <v/>
      </c>
      <c r="D137" s="8"/>
      <c r="E137" s="8"/>
    </row>
    <row r="138" spans="1:5">
      <c r="A138">
        <v>46314</v>
      </c>
      <c r="B138" s="8"/>
      <c r="C138" s="9" t="str">
        <f t="shared" si="2"/>
        <v/>
      </c>
      <c r="D138" s="8"/>
      <c r="E138" s="8"/>
    </row>
    <row r="139" spans="1:5">
      <c r="A139">
        <v>46315</v>
      </c>
      <c r="B139" s="8"/>
      <c r="C139" s="9" t="str">
        <f t="shared" si="2"/>
        <v/>
      </c>
      <c r="D139" s="8"/>
      <c r="E139" s="8"/>
    </row>
    <row r="140" spans="1:5">
      <c r="A140">
        <v>46316</v>
      </c>
      <c r="B140" s="8"/>
      <c r="C140" s="9" t="str">
        <f t="shared" si="2"/>
        <v/>
      </c>
      <c r="D140" s="8"/>
      <c r="E140" s="8"/>
    </row>
    <row r="141" spans="1:5">
      <c r="A141">
        <v>46317</v>
      </c>
      <c r="B141" s="8"/>
      <c r="C141" s="9" t="str">
        <f t="shared" si="2"/>
        <v/>
      </c>
      <c r="D141" s="8"/>
      <c r="E141" s="8"/>
    </row>
    <row r="142" spans="1:5">
      <c r="A142">
        <v>46318</v>
      </c>
      <c r="B142" s="8"/>
      <c r="C142" s="9" t="str">
        <f t="shared" si="2"/>
        <v/>
      </c>
      <c r="D142" s="8"/>
      <c r="E142" s="8"/>
    </row>
    <row r="143" spans="1:5">
      <c r="A143">
        <v>46319</v>
      </c>
      <c r="B143" s="8"/>
      <c r="C143" s="9" t="str">
        <f t="shared" si="2"/>
        <v/>
      </c>
      <c r="D143" s="8"/>
      <c r="E143" s="8"/>
    </row>
    <row r="144" spans="1:5">
      <c r="A144">
        <v>46320</v>
      </c>
      <c r="B144" s="8"/>
      <c r="C144" s="9" t="str">
        <f t="shared" si="2"/>
        <v/>
      </c>
      <c r="D144" s="8"/>
      <c r="E144" s="8"/>
    </row>
    <row r="145" spans="1:5">
      <c r="A145">
        <v>46321</v>
      </c>
      <c r="B145" s="8"/>
      <c r="C145" s="9" t="str">
        <f t="shared" si="2"/>
        <v/>
      </c>
      <c r="D145" s="8"/>
      <c r="E145" s="8"/>
    </row>
    <row r="146" spans="1:5">
      <c r="A146">
        <v>46322</v>
      </c>
      <c r="B146" s="8"/>
      <c r="C146" s="9" t="str">
        <f t="shared" si="2"/>
        <v/>
      </c>
      <c r="D146" s="8"/>
      <c r="E146" s="8"/>
    </row>
    <row r="147" spans="1:5">
      <c r="A147">
        <v>46323</v>
      </c>
      <c r="B147" s="8"/>
      <c r="C147" s="9" t="str">
        <f t="shared" si="2"/>
        <v/>
      </c>
      <c r="D147" s="8"/>
      <c r="E147" s="8"/>
    </row>
    <row r="148" spans="1:5">
      <c r="A148">
        <v>46324</v>
      </c>
      <c r="B148" s="8"/>
      <c r="C148" s="9" t="str">
        <f t="shared" si="2"/>
        <v/>
      </c>
      <c r="D148" s="8"/>
      <c r="E148" s="8"/>
    </row>
    <row r="149" spans="1:5">
      <c r="A149">
        <v>46325</v>
      </c>
      <c r="B149" s="8"/>
      <c r="C149" s="9" t="str">
        <f t="shared" si="2"/>
        <v/>
      </c>
      <c r="D149" s="8"/>
      <c r="E149" s="8"/>
    </row>
    <row r="150" spans="1:5">
      <c r="A150">
        <v>46326</v>
      </c>
      <c r="B150" s="8"/>
      <c r="C150" s="9" t="str">
        <f t="shared" si="2"/>
        <v/>
      </c>
      <c r="D150" s="8"/>
      <c r="E150" s="8"/>
    </row>
    <row r="151" spans="1:5">
      <c r="A151">
        <v>46327</v>
      </c>
      <c r="B151" s="8"/>
      <c r="C151" s="9" t="str">
        <f t="shared" si="2"/>
        <v/>
      </c>
      <c r="D151" s="8"/>
      <c r="E151" s="8"/>
    </row>
    <row r="152" spans="1:5">
      <c r="A152">
        <v>46328</v>
      </c>
      <c r="B152" s="8"/>
      <c r="C152" s="9" t="str">
        <f t="shared" si="2"/>
        <v/>
      </c>
      <c r="D152" s="8"/>
      <c r="E152" s="8"/>
    </row>
    <row r="153" spans="1:5">
      <c r="A153">
        <v>46329</v>
      </c>
      <c r="B153" s="8"/>
      <c r="C153" s="9" t="str">
        <f t="shared" si="2"/>
        <v/>
      </c>
      <c r="D153" s="8"/>
      <c r="E153" s="8"/>
    </row>
    <row r="154" spans="1:5">
      <c r="A154">
        <v>46330</v>
      </c>
      <c r="B154" s="8"/>
      <c r="C154" s="9" t="str">
        <f t="shared" si="2"/>
        <v/>
      </c>
      <c r="D154" s="8"/>
      <c r="E154" s="8"/>
    </row>
    <row r="155" spans="1:5">
      <c r="A155">
        <v>46331</v>
      </c>
      <c r="B155" s="8"/>
      <c r="C155" s="9" t="str">
        <f t="shared" si="2"/>
        <v/>
      </c>
      <c r="D155" s="8"/>
      <c r="E155" s="8"/>
    </row>
    <row r="156" spans="1:5">
      <c r="A156">
        <v>46332</v>
      </c>
      <c r="B156" s="8"/>
      <c r="C156" s="9" t="str">
        <f t="shared" si="2"/>
        <v/>
      </c>
      <c r="D156" s="8"/>
      <c r="E156" s="8"/>
    </row>
    <row r="157" spans="1:5">
      <c r="A157">
        <v>46333</v>
      </c>
      <c r="B157" s="8"/>
      <c r="C157" s="9" t="str">
        <f t="shared" si="2"/>
        <v/>
      </c>
      <c r="D157" s="8"/>
      <c r="E157" s="8"/>
    </row>
    <row r="158" spans="1:5">
      <c r="A158">
        <v>46334</v>
      </c>
      <c r="B158" s="8"/>
      <c r="C158" s="9" t="str">
        <f t="shared" si="2"/>
        <v/>
      </c>
      <c r="D158" s="8"/>
      <c r="E158" s="8"/>
    </row>
    <row r="159" spans="1:5">
      <c r="A159">
        <v>46335</v>
      </c>
      <c r="B159" s="8"/>
      <c r="C159" s="9" t="str">
        <f t="shared" si="2"/>
        <v/>
      </c>
      <c r="D159" s="8"/>
      <c r="E159" s="8"/>
    </row>
    <row r="160" spans="1:5">
      <c r="A160">
        <v>46336</v>
      </c>
      <c r="B160" s="8"/>
      <c r="C160" s="9" t="str">
        <f t="shared" si="2"/>
        <v/>
      </c>
      <c r="D160" s="8"/>
      <c r="E160" s="8"/>
    </row>
    <row r="161" spans="1:5">
      <c r="A161">
        <v>46337</v>
      </c>
      <c r="B161" s="8"/>
      <c r="C161" s="9" t="str">
        <f t="shared" si="2"/>
        <v/>
      </c>
      <c r="D161" s="8"/>
      <c r="E161" s="8"/>
    </row>
    <row r="162" spans="1:5">
      <c r="A162">
        <v>46338</v>
      </c>
      <c r="B162" s="8"/>
      <c r="C162" s="9" t="str">
        <f t="shared" si="2"/>
        <v/>
      </c>
      <c r="D162" s="8"/>
      <c r="E162" s="8"/>
    </row>
    <row r="163" spans="1:5">
      <c r="A163">
        <v>46339</v>
      </c>
      <c r="B163" s="8"/>
      <c r="C163" s="9" t="str">
        <f t="shared" si="2"/>
        <v/>
      </c>
      <c r="D163" s="8"/>
      <c r="E163" s="8"/>
    </row>
    <row r="164" spans="1:5">
      <c r="A164">
        <v>46340</v>
      </c>
      <c r="B164" s="8"/>
      <c r="C164" s="9" t="str">
        <f t="shared" si="2"/>
        <v/>
      </c>
      <c r="D164" s="8"/>
      <c r="E164" s="8"/>
    </row>
    <row r="165" spans="1:5">
      <c r="A165">
        <v>46341</v>
      </c>
      <c r="B165" s="8"/>
      <c r="C165" s="9" t="str">
        <f t="shared" si="2"/>
        <v/>
      </c>
      <c r="D165" s="8"/>
      <c r="E165" s="8"/>
    </row>
    <row r="166" spans="1:5">
      <c r="A166">
        <v>46342</v>
      </c>
      <c r="B166" s="8"/>
      <c r="C166" s="9" t="str">
        <f t="shared" si="2"/>
        <v/>
      </c>
      <c r="D166" s="8"/>
      <c r="E166" s="8"/>
    </row>
    <row r="167" spans="1:5">
      <c r="A167">
        <v>46343</v>
      </c>
      <c r="B167" s="8"/>
      <c r="C167" s="9" t="str">
        <f t="shared" si="2"/>
        <v/>
      </c>
      <c r="D167" s="8"/>
      <c r="E167" s="8"/>
    </row>
    <row r="168" spans="1:5">
      <c r="A168">
        <v>46344</v>
      </c>
      <c r="B168" s="8"/>
      <c r="C168" s="9" t="str">
        <f t="shared" si="2"/>
        <v/>
      </c>
      <c r="D168" s="8"/>
      <c r="E168" s="8"/>
    </row>
    <row r="169" spans="1:5">
      <c r="A169">
        <v>46345</v>
      </c>
      <c r="B169" s="8"/>
      <c r="C169" s="9" t="str">
        <f t="shared" si="2"/>
        <v/>
      </c>
      <c r="D169" s="8"/>
      <c r="E169" s="8"/>
    </row>
    <row r="170" spans="1:5">
      <c r="A170">
        <v>46346</v>
      </c>
      <c r="B170" s="8"/>
      <c r="C170" s="9" t="str">
        <f t="shared" si="2"/>
        <v/>
      </c>
      <c r="D170" s="8"/>
      <c r="E170" s="8"/>
    </row>
    <row r="171" spans="1:5">
      <c r="A171">
        <v>46347</v>
      </c>
      <c r="B171" s="8"/>
      <c r="C171" s="9" t="str">
        <f t="shared" si="2"/>
        <v/>
      </c>
      <c r="D171" s="8"/>
      <c r="E171" s="8"/>
    </row>
    <row r="172" spans="1:5">
      <c r="A172">
        <v>46348</v>
      </c>
      <c r="B172" s="8"/>
      <c r="C172" s="9" t="str">
        <f t="shared" si="2"/>
        <v/>
      </c>
      <c r="D172" s="8"/>
      <c r="E172" s="8"/>
    </row>
    <row r="173" spans="1:5">
      <c r="A173">
        <v>46349</v>
      </c>
      <c r="B173" s="8"/>
      <c r="C173" s="9" t="str">
        <f t="shared" si="2"/>
        <v/>
      </c>
      <c r="D173" s="8"/>
      <c r="E173" s="8"/>
    </row>
    <row r="174" spans="1:5">
      <c r="A174">
        <v>46350</v>
      </c>
      <c r="B174" s="8"/>
      <c r="C174" s="9" t="str">
        <f t="shared" si="2"/>
        <v/>
      </c>
      <c r="D174" s="8"/>
      <c r="E174" s="8"/>
    </row>
    <row r="175" spans="1:5">
      <c r="A175">
        <v>46351</v>
      </c>
      <c r="B175" s="8"/>
      <c r="C175" s="9" t="str">
        <f t="shared" si="2"/>
        <v/>
      </c>
      <c r="D175" s="8"/>
      <c r="E175" s="8"/>
    </row>
    <row r="176" spans="1:5">
      <c r="A176">
        <v>46352</v>
      </c>
      <c r="B176" s="8"/>
      <c r="C176" s="9" t="str">
        <f t="shared" si="2"/>
        <v/>
      </c>
      <c r="D176" s="8"/>
      <c r="E176" s="8"/>
    </row>
    <row r="177" spans="1:5">
      <c r="A177">
        <v>46353</v>
      </c>
      <c r="B177" s="8"/>
      <c r="C177" s="9" t="str">
        <f t="shared" si="2"/>
        <v/>
      </c>
      <c r="D177" s="8"/>
      <c r="E177" s="8"/>
    </row>
    <row r="178" spans="1:5">
      <c r="A178">
        <v>46354</v>
      </c>
      <c r="B178" s="8"/>
      <c r="C178" s="9" t="str">
        <f t="shared" si="2"/>
        <v/>
      </c>
      <c r="D178" s="8"/>
      <c r="E178" s="8"/>
    </row>
    <row r="179" spans="1:5">
      <c r="A179">
        <v>46355</v>
      </c>
      <c r="B179" s="8"/>
      <c r="C179" s="9" t="str">
        <f t="shared" si="2"/>
        <v/>
      </c>
      <c r="D179" s="8"/>
      <c r="E179" s="8"/>
    </row>
    <row r="180" spans="1:5">
      <c r="A180">
        <v>46356</v>
      </c>
      <c r="B180" s="8"/>
      <c r="C180" s="9" t="str">
        <f t="shared" si="2"/>
        <v/>
      </c>
      <c r="D180" s="8"/>
      <c r="E180" s="8"/>
    </row>
    <row r="181" spans="1:5">
      <c r="A181">
        <v>46357</v>
      </c>
      <c r="B181" s="8"/>
      <c r="C181" s="9" t="str">
        <f t="shared" si="2"/>
        <v/>
      </c>
      <c r="D181" s="8"/>
      <c r="E181" s="8"/>
    </row>
    <row r="182" spans="1:5">
      <c r="A182">
        <v>46358</v>
      </c>
      <c r="B182" s="8"/>
      <c r="C182" s="9" t="str">
        <f t="shared" si="2"/>
        <v/>
      </c>
      <c r="D182" s="8"/>
      <c r="E182" s="8"/>
    </row>
    <row r="183" spans="1:5">
      <c r="A183">
        <v>46359</v>
      </c>
      <c r="B183" s="8"/>
      <c r="C183" s="9" t="str">
        <f t="shared" si="2"/>
        <v/>
      </c>
      <c r="D183" s="8"/>
      <c r="E183" s="8"/>
    </row>
    <row r="184" spans="1:5">
      <c r="A184">
        <v>46360</v>
      </c>
      <c r="B184" s="8"/>
      <c r="C184" s="9" t="str">
        <f t="shared" si="2"/>
        <v/>
      </c>
      <c r="D184" s="8"/>
      <c r="E184" s="8"/>
    </row>
    <row r="185" spans="1:5">
      <c r="A185">
        <v>46361</v>
      </c>
      <c r="B185" s="8"/>
      <c r="C185" s="9" t="str">
        <f t="shared" si="2"/>
        <v/>
      </c>
      <c r="D185" s="8"/>
      <c r="E185" s="8"/>
    </row>
    <row r="186" spans="1:5">
      <c r="A186">
        <v>46362</v>
      </c>
      <c r="B186" s="8"/>
      <c r="C186" s="9" t="str">
        <f t="shared" si="2"/>
        <v/>
      </c>
      <c r="D186" s="8"/>
      <c r="E186" s="8"/>
    </row>
    <row r="187" spans="1:5">
      <c r="A187">
        <v>46363</v>
      </c>
      <c r="B187" s="8"/>
      <c r="C187" s="9" t="str">
        <f t="shared" si="2"/>
        <v/>
      </c>
      <c r="D187" s="8"/>
      <c r="E187" s="8"/>
    </row>
    <row r="188" spans="1:5">
      <c r="A188">
        <v>46364</v>
      </c>
      <c r="B188" s="8"/>
      <c r="C188" s="9" t="str">
        <f t="shared" si="2"/>
        <v/>
      </c>
      <c r="D188" s="8"/>
      <c r="E188" s="8"/>
    </row>
    <row r="189" spans="1:5">
      <c r="A189">
        <v>46365</v>
      </c>
      <c r="B189" s="8"/>
      <c r="C189" s="9" t="str">
        <f t="shared" si="2"/>
        <v/>
      </c>
      <c r="D189" s="8"/>
      <c r="E189" s="8"/>
    </row>
    <row r="190" spans="1:5">
      <c r="A190">
        <v>46366</v>
      </c>
      <c r="B190" s="8"/>
      <c r="C190" s="9" t="str">
        <f t="shared" si="2"/>
        <v/>
      </c>
      <c r="D190" s="8"/>
      <c r="E190" s="8"/>
    </row>
    <row r="191" spans="1:5">
      <c r="A191">
        <v>46367</v>
      </c>
      <c r="B191" s="8"/>
      <c r="C191" s="9" t="str">
        <f t="shared" si="2"/>
        <v/>
      </c>
      <c r="D191" s="8"/>
      <c r="E191" s="8"/>
    </row>
    <row r="192" spans="1:5">
      <c r="A192">
        <v>46368</v>
      </c>
      <c r="B192" s="8"/>
      <c r="C192" s="9" t="str">
        <f t="shared" si="2"/>
        <v/>
      </c>
      <c r="D192" s="8"/>
      <c r="E192" s="8"/>
    </row>
    <row r="193" spans="1:5">
      <c r="A193">
        <v>46369</v>
      </c>
      <c r="B193" s="8"/>
      <c r="C193" s="9" t="str">
        <f t="shared" si="2"/>
        <v/>
      </c>
      <c r="D193" s="8"/>
      <c r="E193" s="8"/>
    </row>
    <row r="194" spans="1:5">
      <c r="A194">
        <v>46370</v>
      </c>
      <c r="B194" s="8"/>
      <c r="C194" s="9" t="str">
        <f t="shared" si="2"/>
        <v/>
      </c>
      <c r="D194" s="8"/>
      <c r="E194" s="8"/>
    </row>
    <row r="195" spans="1:5">
      <c r="A195">
        <v>46371</v>
      </c>
      <c r="B195" s="8"/>
      <c r="C195" s="9" t="str">
        <f t="shared" si="2"/>
        <v/>
      </c>
      <c r="D195" s="8"/>
      <c r="E195" s="8"/>
    </row>
    <row r="196" spans="1:5">
      <c r="A196">
        <v>46372</v>
      </c>
      <c r="B196" s="8"/>
      <c r="C196" s="9" t="str">
        <f t="shared" si="2"/>
        <v/>
      </c>
      <c r="D196" s="8"/>
      <c r="E196" s="8"/>
    </row>
    <row r="197" spans="1:5">
      <c r="A197">
        <v>46373</v>
      </c>
      <c r="B197" s="8"/>
      <c r="C197" s="9" t="str">
        <f t="shared" si="2"/>
        <v/>
      </c>
      <c r="D197" s="8"/>
      <c r="E197" s="8"/>
    </row>
    <row r="198" spans="1:5">
      <c r="A198">
        <v>46374</v>
      </c>
      <c r="B198" s="8"/>
      <c r="C198" s="9" t="str">
        <f t="shared" si="2"/>
        <v/>
      </c>
      <c r="D198" s="8"/>
      <c r="E198" s="8"/>
    </row>
    <row r="199" spans="1:5">
      <c r="A199">
        <v>46375</v>
      </c>
      <c r="B199" s="8"/>
      <c r="C199" s="9" t="str">
        <f t="shared" si="2"/>
        <v/>
      </c>
      <c r="D199" s="8"/>
      <c r="E199" s="8"/>
    </row>
    <row r="200" spans="1:5">
      <c r="A200">
        <v>46376</v>
      </c>
      <c r="B200" s="8"/>
      <c r="C200" s="9" t="str">
        <f t="shared" ref="C200:C263" si="3">IF(COUNT(B194:B200)=0,"",AVERAGE(B194:B200))</f>
        <v/>
      </c>
      <c r="D200" s="8"/>
      <c r="E200" s="8"/>
    </row>
    <row r="201" spans="1:5">
      <c r="A201">
        <v>46377</v>
      </c>
      <c r="B201" s="8"/>
      <c r="C201" s="9" t="str">
        <f t="shared" si="3"/>
        <v/>
      </c>
      <c r="D201" s="8"/>
      <c r="E201" s="8"/>
    </row>
    <row r="202" spans="1:5">
      <c r="A202">
        <v>46378</v>
      </c>
      <c r="B202" s="8"/>
      <c r="C202" s="9" t="str">
        <f t="shared" si="3"/>
        <v/>
      </c>
      <c r="D202" s="8"/>
      <c r="E202" s="8"/>
    </row>
    <row r="203" spans="1:5">
      <c r="A203">
        <v>46379</v>
      </c>
      <c r="B203" s="8"/>
      <c r="C203" s="9" t="str">
        <f t="shared" si="3"/>
        <v/>
      </c>
      <c r="D203" s="8"/>
      <c r="E203" s="8"/>
    </row>
    <row r="204" spans="1:5">
      <c r="A204">
        <v>46380</v>
      </c>
      <c r="B204" s="8"/>
      <c r="C204" s="9" t="str">
        <f t="shared" si="3"/>
        <v/>
      </c>
      <c r="D204" s="8"/>
      <c r="E204" s="8"/>
    </row>
    <row r="205" spans="1:5">
      <c r="A205">
        <v>46381</v>
      </c>
      <c r="B205" s="8"/>
      <c r="C205" s="9" t="str">
        <f t="shared" si="3"/>
        <v/>
      </c>
      <c r="D205" s="8"/>
      <c r="E205" s="8"/>
    </row>
    <row r="206" spans="1:5">
      <c r="A206">
        <v>46382</v>
      </c>
      <c r="B206" s="8"/>
      <c r="C206" s="9" t="str">
        <f t="shared" si="3"/>
        <v/>
      </c>
      <c r="D206" s="8"/>
      <c r="E206" s="8"/>
    </row>
    <row r="207" spans="1:5">
      <c r="A207">
        <v>46383</v>
      </c>
      <c r="B207" s="8"/>
      <c r="C207" s="9" t="str">
        <f t="shared" si="3"/>
        <v/>
      </c>
      <c r="D207" s="8"/>
      <c r="E207" s="8"/>
    </row>
    <row r="208" spans="1:5">
      <c r="A208">
        <v>46384</v>
      </c>
      <c r="B208" s="8"/>
      <c r="C208" s="9" t="str">
        <f t="shared" si="3"/>
        <v/>
      </c>
      <c r="D208" s="8"/>
      <c r="E208" s="8"/>
    </row>
    <row r="209" spans="1:5">
      <c r="A209">
        <v>46385</v>
      </c>
      <c r="B209" s="8"/>
      <c r="C209" s="9" t="str">
        <f t="shared" si="3"/>
        <v/>
      </c>
      <c r="D209" s="8"/>
      <c r="E209" s="8"/>
    </row>
    <row r="210" spans="1:5">
      <c r="A210">
        <v>46386</v>
      </c>
      <c r="B210" s="8"/>
      <c r="C210" s="9" t="str">
        <f t="shared" si="3"/>
        <v/>
      </c>
      <c r="D210" s="8"/>
      <c r="E210" s="8"/>
    </row>
    <row r="211" spans="1:5">
      <c r="A211">
        <v>46387</v>
      </c>
      <c r="B211" s="8"/>
      <c r="C211" s="9" t="str">
        <f t="shared" si="3"/>
        <v/>
      </c>
      <c r="D211" s="8"/>
      <c r="E211" s="8"/>
    </row>
    <row r="212" spans="1:5">
      <c r="A212">
        <v>46388</v>
      </c>
      <c r="B212" s="8"/>
      <c r="C212" s="9" t="str">
        <f t="shared" si="3"/>
        <v/>
      </c>
      <c r="D212" s="8"/>
      <c r="E212" s="8"/>
    </row>
    <row r="213" spans="1:5">
      <c r="A213">
        <v>46389</v>
      </c>
      <c r="B213" s="8"/>
      <c r="C213" s="9" t="str">
        <f t="shared" si="3"/>
        <v/>
      </c>
      <c r="D213" s="8"/>
      <c r="E213" s="8"/>
    </row>
    <row r="214" spans="1:5">
      <c r="A214">
        <v>46390</v>
      </c>
      <c r="B214" s="8"/>
      <c r="C214" s="9" t="str">
        <f t="shared" si="3"/>
        <v/>
      </c>
      <c r="D214" s="8"/>
      <c r="E214" s="8"/>
    </row>
    <row r="215" spans="1:5">
      <c r="A215">
        <v>46391</v>
      </c>
      <c r="B215" s="8"/>
      <c r="C215" s="9" t="str">
        <f t="shared" si="3"/>
        <v/>
      </c>
      <c r="D215" s="8"/>
      <c r="E215" s="8"/>
    </row>
    <row r="216" spans="1:5">
      <c r="A216">
        <v>46392</v>
      </c>
      <c r="B216" s="8"/>
      <c r="C216" s="9" t="str">
        <f t="shared" si="3"/>
        <v/>
      </c>
      <c r="D216" s="8"/>
      <c r="E216" s="8"/>
    </row>
    <row r="217" spans="1:5">
      <c r="A217">
        <v>46393</v>
      </c>
      <c r="B217" s="8"/>
      <c r="C217" s="9" t="str">
        <f t="shared" si="3"/>
        <v/>
      </c>
      <c r="D217" s="8"/>
      <c r="E217" s="8"/>
    </row>
    <row r="218" spans="1:5">
      <c r="A218">
        <v>46394</v>
      </c>
      <c r="B218" s="8"/>
      <c r="C218" s="9" t="str">
        <f t="shared" si="3"/>
        <v/>
      </c>
      <c r="D218" s="8"/>
      <c r="E218" s="8"/>
    </row>
    <row r="219" spans="1:5">
      <c r="A219">
        <v>46395</v>
      </c>
      <c r="B219" s="8"/>
      <c r="C219" s="9" t="str">
        <f t="shared" si="3"/>
        <v/>
      </c>
      <c r="D219" s="8"/>
      <c r="E219" s="8"/>
    </row>
    <row r="220" spans="1:5">
      <c r="A220">
        <v>46396</v>
      </c>
      <c r="B220" s="8"/>
      <c r="C220" s="9" t="str">
        <f t="shared" si="3"/>
        <v/>
      </c>
      <c r="D220" s="8"/>
      <c r="E220" s="8"/>
    </row>
    <row r="221" spans="1:5">
      <c r="A221">
        <v>46397</v>
      </c>
      <c r="B221" s="8"/>
      <c r="C221" s="9" t="str">
        <f t="shared" si="3"/>
        <v/>
      </c>
      <c r="D221" s="8"/>
      <c r="E221" s="8"/>
    </row>
    <row r="222" spans="1:5">
      <c r="A222">
        <v>46398</v>
      </c>
      <c r="B222" s="8"/>
      <c r="C222" s="9" t="str">
        <f t="shared" si="3"/>
        <v/>
      </c>
      <c r="D222" s="8"/>
      <c r="E222" s="8"/>
    </row>
    <row r="223" spans="1:5">
      <c r="A223">
        <v>46399</v>
      </c>
      <c r="B223" s="8"/>
      <c r="C223" s="9" t="str">
        <f t="shared" si="3"/>
        <v/>
      </c>
      <c r="D223" s="8"/>
      <c r="E223" s="8"/>
    </row>
    <row r="224" spans="1:5">
      <c r="A224">
        <v>46400</v>
      </c>
      <c r="B224" s="8"/>
      <c r="C224" s="9" t="str">
        <f t="shared" si="3"/>
        <v/>
      </c>
      <c r="D224" s="8"/>
      <c r="E224" s="8"/>
    </row>
    <row r="225" spans="1:5">
      <c r="A225">
        <v>46401</v>
      </c>
      <c r="B225" s="8"/>
      <c r="C225" s="9" t="str">
        <f t="shared" si="3"/>
        <v/>
      </c>
      <c r="D225" s="8"/>
      <c r="E225" s="8"/>
    </row>
    <row r="226" spans="1:5">
      <c r="A226">
        <v>46402</v>
      </c>
      <c r="B226" s="8"/>
      <c r="C226" s="9" t="str">
        <f t="shared" si="3"/>
        <v/>
      </c>
      <c r="D226" s="8"/>
      <c r="E226" s="8"/>
    </row>
    <row r="227" spans="1:5">
      <c r="A227">
        <v>46403</v>
      </c>
      <c r="B227" s="8"/>
      <c r="C227" s="9" t="str">
        <f t="shared" si="3"/>
        <v/>
      </c>
      <c r="D227" s="8"/>
      <c r="E227" s="8"/>
    </row>
    <row r="228" spans="1:5">
      <c r="A228">
        <v>46404</v>
      </c>
      <c r="B228" s="8"/>
      <c r="C228" s="9" t="str">
        <f t="shared" si="3"/>
        <v/>
      </c>
      <c r="D228" s="8"/>
      <c r="E228" s="8"/>
    </row>
    <row r="229" spans="1:5">
      <c r="A229">
        <v>46405</v>
      </c>
      <c r="B229" s="8"/>
      <c r="C229" s="9" t="str">
        <f t="shared" si="3"/>
        <v/>
      </c>
      <c r="D229" s="8"/>
      <c r="E229" s="8"/>
    </row>
    <row r="230" spans="1:5">
      <c r="A230">
        <v>46406</v>
      </c>
      <c r="B230" s="8"/>
      <c r="C230" s="9" t="str">
        <f t="shared" si="3"/>
        <v/>
      </c>
      <c r="D230" s="8"/>
      <c r="E230" s="8"/>
    </row>
    <row r="231" spans="1:5">
      <c r="A231">
        <v>46407</v>
      </c>
      <c r="B231" s="8"/>
      <c r="C231" s="9" t="str">
        <f t="shared" si="3"/>
        <v/>
      </c>
      <c r="D231" s="8"/>
      <c r="E231" s="8"/>
    </row>
    <row r="232" spans="1:5">
      <c r="A232">
        <v>46408</v>
      </c>
      <c r="B232" s="8"/>
      <c r="C232" s="9" t="str">
        <f t="shared" si="3"/>
        <v/>
      </c>
      <c r="D232" s="8"/>
      <c r="E232" s="8"/>
    </row>
    <row r="233" spans="1:5">
      <c r="A233">
        <v>46409</v>
      </c>
      <c r="B233" s="8"/>
      <c r="C233" s="9" t="str">
        <f t="shared" si="3"/>
        <v/>
      </c>
      <c r="D233" s="8"/>
      <c r="E233" s="8"/>
    </row>
    <row r="234" spans="1:5">
      <c r="A234">
        <v>46410</v>
      </c>
      <c r="B234" s="8"/>
      <c r="C234" s="9" t="str">
        <f t="shared" si="3"/>
        <v/>
      </c>
      <c r="D234" s="8"/>
      <c r="E234" s="8"/>
    </row>
    <row r="235" spans="1:5">
      <c r="A235">
        <v>46411</v>
      </c>
      <c r="B235" s="8"/>
      <c r="C235" s="9" t="str">
        <f t="shared" si="3"/>
        <v/>
      </c>
      <c r="D235" s="8"/>
      <c r="E235" s="8"/>
    </row>
    <row r="236" spans="1:5">
      <c r="A236">
        <v>46412</v>
      </c>
      <c r="B236" s="8"/>
      <c r="C236" s="9" t="str">
        <f t="shared" si="3"/>
        <v/>
      </c>
      <c r="D236" s="8"/>
      <c r="E236" s="8"/>
    </row>
    <row r="237" spans="1:5">
      <c r="A237">
        <v>46413</v>
      </c>
      <c r="B237" s="8"/>
      <c r="C237" s="9" t="str">
        <f t="shared" si="3"/>
        <v/>
      </c>
      <c r="D237" s="8"/>
      <c r="E237" s="8"/>
    </row>
    <row r="238" spans="1:5">
      <c r="A238">
        <v>46414</v>
      </c>
      <c r="B238" s="8"/>
      <c r="C238" s="9" t="str">
        <f t="shared" si="3"/>
        <v/>
      </c>
      <c r="D238" s="8"/>
      <c r="E238" s="8"/>
    </row>
    <row r="239" spans="1:5">
      <c r="A239">
        <v>46415</v>
      </c>
      <c r="B239" s="8"/>
      <c r="C239" s="9" t="str">
        <f t="shared" si="3"/>
        <v/>
      </c>
      <c r="D239" s="8"/>
      <c r="E239" s="8"/>
    </row>
    <row r="240" spans="1:5">
      <c r="A240">
        <v>46416</v>
      </c>
      <c r="B240" s="8"/>
      <c r="C240" s="9" t="str">
        <f t="shared" si="3"/>
        <v/>
      </c>
      <c r="D240" s="8"/>
      <c r="E240" s="8"/>
    </row>
    <row r="241" spans="1:5">
      <c r="A241">
        <v>46417</v>
      </c>
      <c r="B241" s="8"/>
      <c r="C241" s="9" t="str">
        <f t="shared" si="3"/>
        <v/>
      </c>
      <c r="D241" s="8"/>
      <c r="E241" s="8"/>
    </row>
    <row r="242" spans="1:5">
      <c r="A242">
        <v>46418</v>
      </c>
      <c r="B242" s="8"/>
      <c r="C242" s="9" t="str">
        <f t="shared" si="3"/>
        <v/>
      </c>
      <c r="D242" s="8"/>
      <c r="E242" s="8"/>
    </row>
    <row r="243" spans="1:5">
      <c r="A243">
        <v>46419</v>
      </c>
      <c r="B243" s="8"/>
      <c r="C243" s="9" t="str">
        <f t="shared" si="3"/>
        <v/>
      </c>
      <c r="D243" s="8"/>
      <c r="E243" s="8"/>
    </row>
    <row r="244" spans="1:5">
      <c r="A244">
        <v>46420</v>
      </c>
      <c r="B244" s="8"/>
      <c r="C244" s="9" t="str">
        <f t="shared" si="3"/>
        <v/>
      </c>
      <c r="D244" s="8"/>
      <c r="E244" s="8"/>
    </row>
    <row r="245" spans="1:5">
      <c r="A245">
        <v>46421</v>
      </c>
      <c r="B245" s="8"/>
      <c r="C245" s="9" t="str">
        <f t="shared" si="3"/>
        <v/>
      </c>
      <c r="D245" s="8"/>
      <c r="E245" s="8"/>
    </row>
    <row r="246" spans="1:5">
      <c r="A246">
        <v>46422</v>
      </c>
      <c r="B246" s="8"/>
      <c r="C246" s="9" t="str">
        <f t="shared" si="3"/>
        <v/>
      </c>
      <c r="D246" s="8"/>
      <c r="E246" s="8"/>
    </row>
    <row r="247" spans="1:5">
      <c r="A247">
        <v>46423</v>
      </c>
      <c r="B247" s="8"/>
      <c r="C247" s="9" t="str">
        <f t="shared" si="3"/>
        <v/>
      </c>
      <c r="D247" s="8"/>
      <c r="E247" s="8"/>
    </row>
    <row r="248" spans="1:5">
      <c r="A248">
        <v>46424</v>
      </c>
      <c r="B248" s="8"/>
      <c r="C248" s="9" t="str">
        <f t="shared" si="3"/>
        <v/>
      </c>
      <c r="D248" s="8"/>
      <c r="E248" s="8"/>
    </row>
    <row r="249" spans="1:5">
      <c r="A249">
        <v>46425</v>
      </c>
      <c r="B249" s="8"/>
      <c r="C249" s="9" t="str">
        <f t="shared" si="3"/>
        <v/>
      </c>
      <c r="D249" s="8"/>
      <c r="E249" s="8"/>
    </row>
    <row r="250" spans="1:5">
      <c r="A250">
        <v>46426</v>
      </c>
      <c r="B250" s="8"/>
      <c r="C250" s="9" t="str">
        <f t="shared" si="3"/>
        <v/>
      </c>
      <c r="D250" s="8"/>
      <c r="E250" s="8"/>
    </row>
    <row r="251" spans="1:5">
      <c r="A251">
        <v>46427</v>
      </c>
      <c r="B251" s="8"/>
      <c r="C251" s="9" t="str">
        <f t="shared" si="3"/>
        <v/>
      </c>
      <c r="D251" s="8"/>
      <c r="E251" s="8"/>
    </row>
    <row r="252" spans="1:5">
      <c r="A252">
        <v>46428</v>
      </c>
      <c r="B252" s="8"/>
      <c r="C252" s="9" t="str">
        <f t="shared" si="3"/>
        <v/>
      </c>
      <c r="D252" s="8"/>
      <c r="E252" s="8"/>
    </row>
    <row r="253" spans="1:5">
      <c r="A253">
        <v>46429</v>
      </c>
      <c r="B253" s="8"/>
      <c r="C253" s="9" t="str">
        <f t="shared" si="3"/>
        <v/>
      </c>
      <c r="D253" s="8"/>
      <c r="E253" s="8"/>
    </row>
    <row r="254" spans="1:5">
      <c r="A254">
        <v>46430</v>
      </c>
      <c r="B254" s="8"/>
      <c r="C254" s="9" t="str">
        <f t="shared" si="3"/>
        <v/>
      </c>
      <c r="D254" s="8"/>
      <c r="E254" s="8"/>
    </row>
    <row r="255" spans="1:5">
      <c r="A255">
        <v>46431</v>
      </c>
      <c r="B255" s="8"/>
      <c r="C255" s="9" t="str">
        <f t="shared" si="3"/>
        <v/>
      </c>
      <c r="D255" s="8"/>
      <c r="E255" s="8"/>
    </row>
    <row r="256" spans="1:5">
      <c r="A256">
        <v>46432</v>
      </c>
      <c r="B256" s="8"/>
      <c r="C256" s="9" t="str">
        <f t="shared" si="3"/>
        <v/>
      </c>
      <c r="D256" s="8"/>
      <c r="E256" s="8"/>
    </row>
    <row r="257" spans="1:5">
      <c r="A257">
        <v>46433</v>
      </c>
      <c r="B257" s="8"/>
      <c r="C257" s="9" t="str">
        <f t="shared" si="3"/>
        <v/>
      </c>
      <c r="D257" s="8"/>
      <c r="E257" s="8"/>
    </row>
    <row r="258" spans="1:5">
      <c r="A258">
        <v>46434</v>
      </c>
      <c r="B258" s="8"/>
      <c r="C258" s="9" t="str">
        <f t="shared" si="3"/>
        <v/>
      </c>
      <c r="D258" s="8"/>
      <c r="E258" s="8"/>
    </row>
    <row r="259" spans="1:5">
      <c r="A259">
        <v>46435</v>
      </c>
      <c r="B259" s="8"/>
      <c r="C259" s="9" t="str">
        <f t="shared" si="3"/>
        <v/>
      </c>
      <c r="D259" s="8"/>
      <c r="E259" s="8"/>
    </row>
    <row r="260" spans="1:5">
      <c r="A260">
        <v>46436</v>
      </c>
      <c r="B260" s="8"/>
      <c r="C260" s="9" t="str">
        <f t="shared" si="3"/>
        <v/>
      </c>
      <c r="D260" s="8"/>
      <c r="E260" s="8"/>
    </row>
    <row r="261" spans="1:5">
      <c r="A261">
        <v>46437</v>
      </c>
      <c r="B261" s="8"/>
      <c r="C261" s="9" t="str">
        <f t="shared" si="3"/>
        <v/>
      </c>
      <c r="D261" s="8"/>
      <c r="E261" s="8"/>
    </row>
    <row r="262" spans="1:5">
      <c r="A262">
        <v>46438</v>
      </c>
      <c r="B262" s="8"/>
      <c r="C262" s="9" t="str">
        <f t="shared" si="3"/>
        <v/>
      </c>
      <c r="D262" s="8"/>
      <c r="E262" s="8"/>
    </row>
    <row r="263" spans="1:5">
      <c r="A263">
        <v>46439</v>
      </c>
      <c r="B263" s="8"/>
      <c r="C263" s="9" t="str">
        <f t="shared" si="3"/>
        <v/>
      </c>
      <c r="D263" s="8"/>
      <c r="E263" s="8"/>
    </row>
    <row r="264" spans="1:5">
      <c r="A264">
        <v>46440</v>
      </c>
      <c r="B264" s="8"/>
      <c r="C264" s="9" t="str">
        <f t="shared" ref="C264:C327" si="4">IF(COUNT(B258:B264)=0,"",AVERAGE(B258:B264))</f>
        <v/>
      </c>
      <c r="D264" s="8"/>
      <c r="E264" s="8"/>
    </row>
    <row r="265" spans="1:5">
      <c r="A265">
        <v>46441</v>
      </c>
      <c r="B265" s="8"/>
      <c r="C265" s="9" t="str">
        <f t="shared" si="4"/>
        <v/>
      </c>
      <c r="D265" s="8"/>
      <c r="E265" s="8"/>
    </row>
    <row r="266" spans="1:5">
      <c r="A266">
        <v>46442</v>
      </c>
      <c r="B266" s="8"/>
      <c r="C266" s="9" t="str">
        <f t="shared" si="4"/>
        <v/>
      </c>
      <c r="D266" s="8"/>
      <c r="E266" s="8"/>
    </row>
    <row r="267" spans="1:5">
      <c r="A267">
        <v>46443</v>
      </c>
      <c r="B267" s="8"/>
      <c r="C267" s="9" t="str">
        <f t="shared" si="4"/>
        <v/>
      </c>
      <c r="D267" s="8"/>
      <c r="E267" s="8"/>
    </row>
    <row r="268" spans="1:5">
      <c r="A268">
        <v>46444</v>
      </c>
      <c r="B268" s="8"/>
      <c r="C268" s="9" t="str">
        <f t="shared" si="4"/>
        <v/>
      </c>
      <c r="D268" s="8"/>
      <c r="E268" s="8"/>
    </row>
    <row r="269" spans="1:5">
      <c r="A269">
        <v>46445</v>
      </c>
      <c r="B269" s="8"/>
      <c r="C269" s="9" t="str">
        <f t="shared" si="4"/>
        <v/>
      </c>
      <c r="D269" s="8"/>
      <c r="E269" s="8"/>
    </row>
    <row r="270" spans="1:5">
      <c r="A270">
        <v>46446</v>
      </c>
      <c r="B270" s="8"/>
      <c r="C270" s="9" t="str">
        <f t="shared" si="4"/>
        <v/>
      </c>
      <c r="D270" s="8"/>
      <c r="E270" s="8"/>
    </row>
    <row r="271" spans="1:5">
      <c r="A271">
        <v>46447</v>
      </c>
      <c r="B271" s="8"/>
      <c r="C271" s="9" t="str">
        <f t="shared" si="4"/>
        <v/>
      </c>
      <c r="D271" s="8"/>
      <c r="E271" s="8"/>
    </row>
    <row r="272" spans="1:5">
      <c r="A272">
        <v>46448</v>
      </c>
      <c r="B272" s="8"/>
      <c r="C272" s="9" t="str">
        <f t="shared" si="4"/>
        <v/>
      </c>
      <c r="D272" s="8"/>
      <c r="E272" s="8"/>
    </row>
    <row r="273" spans="1:5">
      <c r="A273">
        <v>46449</v>
      </c>
      <c r="B273" s="8"/>
      <c r="C273" s="9" t="str">
        <f t="shared" si="4"/>
        <v/>
      </c>
      <c r="D273" s="8"/>
      <c r="E273" s="8"/>
    </row>
    <row r="274" spans="1:5">
      <c r="A274">
        <v>46450</v>
      </c>
      <c r="B274" s="8"/>
      <c r="C274" s="9" t="str">
        <f t="shared" si="4"/>
        <v/>
      </c>
      <c r="D274" s="8"/>
      <c r="E274" s="8"/>
    </row>
    <row r="275" spans="1:5">
      <c r="A275">
        <v>46451</v>
      </c>
      <c r="B275" s="8"/>
      <c r="C275" s="9" t="str">
        <f t="shared" si="4"/>
        <v/>
      </c>
      <c r="D275" s="8"/>
      <c r="E275" s="8"/>
    </row>
    <row r="276" spans="1:5">
      <c r="A276">
        <v>46452</v>
      </c>
      <c r="B276" s="8"/>
      <c r="C276" s="9" t="str">
        <f t="shared" si="4"/>
        <v/>
      </c>
      <c r="D276" s="8"/>
      <c r="E276" s="8"/>
    </row>
    <row r="277" spans="1:5">
      <c r="A277">
        <v>46453</v>
      </c>
      <c r="B277" s="8"/>
      <c r="C277" s="9" t="str">
        <f t="shared" si="4"/>
        <v/>
      </c>
      <c r="D277" s="8"/>
      <c r="E277" s="8"/>
    </row>
    <row r="278" spans="1:5">
      <c r="A278">
        <v>46454</v>
      </c>
      <c r="B278" s="8"/>
      <c r="C278" s="9" t="str">
        <f t="shared" si="4"/>
        <v/>
      </c>
      <c r="D278" s="8"/>
      <c r="E278" s="8"/>
    </row>
    <row r="279" spans="1:5">
      <c r="A279">
        <v>46455</v>
      </c>
      <c r="B279" s="8"/>
      <c r="C279" s="9" t="str">
        <f t="shared" si="4"/>
        <v/>
      </c>
      <c r="D279" s="8"/>
      <c r="E279" s="8"/>
    </row>
    <row r="280" spans="1:5">
      <c r="A280">
        <v>46456</v>
      </c>
      <c r="B280" s="8"/>
      <c r="C280" s="9" t="str">
        <f t="shared" si="4"/>
        <v/>
      </c>
      <c r="D280" s="8"/>
      <c r="E280" s="8"/>
    </row>
    <row r="281" spans="1:5">
      <c r="A281">
        <v>46457</v>
      </c>
      <c r="B281" s="8"/>
      <c r="C281" s="9" t="str">
        <f t="shared" si="4"/>
        <v/>
      </c>
      <c r="D281" s="8"/>
      <c r="E281" s="8"/>
    </row>
    <row r="282" spans="1:5">
      <c r="A282">
        <v>46458</v>
      </c>
      <c r="B282" s="8"/>
      <c r="C282" s="9" t="str">
        <f t="shared" si="4"/>
        <v/>
      </c>
      <c r="D282" s="8"/>
      <c r="E282" s="8"/>
    </row>
    <row r="283" spans="1:5">
      <c r="A283">
        <v>46459</v>
      </c>
      <c r="B283" s="8"/>
      <c r="C283" s="9" t="str">
        <f t="shared" si="4"/>
        <v/>
      </c>
      <c r="D283" s="8"/>
      <c r="E283" s="8"/>
    </row>
    <row r="284" spans="1:5">
      <c r="A284">
        <v>46460</v>
      </c>
      <c r="B284" s="8"/>
      <c r="C284" s="9" t="str">
        <f t="shared" si="4"/>
        <v/>
      </c>
      <c r="D284" s="8"/>
      <c r="E284" s="8"/>
    </row>
    <row r="285" spans="1:5">
      <c r="A285">
        <v>46461</v>
      </c>
      <c r="B285" s="8"/>
      <c r="C285" s="9" t="str">
        <f t="shared" si="4"/>
        <v/>
      </c>
      <c r="D285" s="8"/>
      <c r="E285" s="8"/>
    </row>
    <row r="286" spans="1:5">
      <c r="A286">
        <v>46462</v>
      </c>
      <c r="B286" s="8"/>
      <c r="C286" s="9" t="str">
        <f t="shared" si="4"/>
        <v/>
      </c>
      <c r="D286" s="8"/>
      <c r="E286" s="8"/>
    </row>
    <row r="287" spans="1:5">
      <c r="A287">
        <v>46463</v>
      </c>
      <c r="B287" s="8"/>
      <c r="C287" s="9" t="str">
        <f t="shared" si="4"/>
        <v/>
      </c>
      <c r="D287" s="8"/>
      <c r="E287" s="8"/>
    </row>
    <row r="288" spans="1:5">
      <c r="A288">
        <v>46464</v>
      </c>
      <c r="B288" s="8"/>
      <c r="C288" s="9" t="str">
        <f t="shared" si="4"/>
        <v/>
      </c>
      <c r="D288" s="8"/>
      <c r="E288" s="8"/>
    </row>
    <row r="289" spans="1:5">
      <c r="A289">
        <v>46465</v>
      </c>
      <c r="B289" s="8"/>
      <c r="C289" s="9" t="str">
        <f t="shared" si="4"/>
        <v/>
      </c>
      <c r="D289" s="8"/>
      <c r="E289" s="8"/>
    </row>
    <row r="290" spans="1:5">
      <c r="A290">
        <v>46466</v>
      </c>
      <c r="B290" s="8"/>
      <c r="C290" s="9" t="str">
        <f t="shared" si="4"/>
        <v/>
      </c>
      <c r="D290" s="8"/>
      <c r="E290" s="8"/>
    </row>
    <row r="291" spans="1:5">
      <c r="A291">
        <v>46467</v>
      </c>
      <c r="B291" s="8"/>
      <c r="C291" s="9" t="str">
        <f t="shared" si="4"/>
        <v/>
      </c>
      <c r="D291" s="8"/>
      <c r="E291" s="8"/>
    </row>
    <row r="292" spans="1:5">
      <c r="A292">
        <v>46468</v>
      </c>
      <c r="B292" s="8"/>
      <c r="C292" s="9" t="str">
        <f t="shared" si="4"/>
        <v/>
      </c>
      <c r="D292" s="8"/>
      <c r="E292" s="8"/>
    </row>
    <row r="293" spans="1:5">
      <c r="A293">
        <v>46469</v>
      </c>
      <c r="B293" s="8"/>
      <c r="C293" s="9" t="str">
        <f t="shared" si="4"/>
        <v/>
      </c>
      <c r="D293" s="8"/>
      <c r="E293" s="8"/>
    </row>
    <row r="294" spans="1:5">
      <c r="A294">
        <v>46470</v>
      </c>
      <c r="B294" s="8"/>
      <c r="C294" s="9" t="str">
        <f t="shared" si="4"/>
        <v/>
      </c>
      <c r="D294" s="8"/>
      <c r="E294" s="8"/>
    </row>
    <row r="295" spans="1:5">
      <c r="A295">
        <v>46471</v>
      </c>
      <c r="B295" s="8"/>
      <c r="C295" s="9" t="str">
        <f t="shared" si="4"/>
        <v/>
      </c>
      <c r="D295" s="8"/>
      <c r="E295" s="8"/>
    </row>
    <row r="296" spans="1:5">
      <c r="A296">
        <v>46472</v>
      </c>
      <c r="B296" s="8"/>
      <c r="C296" s="9" t="str">
        <f t="shared" si="4"/>
        <v/>
      </c>
      <c r="D296" s="8"/>
      <c r="E296" s="8"/>
    </row>
    <row r="297" spans="1:5">
      <c r="A297">
        <v>46473</v>
      </c>
      <c r="B297" s="8"/>
      <c r="C297" s="9" t="str">
        <f t="shared" si="4"/>
        <v/>
      </c>
      <c r="D297" s="8"/>
      <c r="E297" s="8"/>
    </row>
    <row r="298" spans="1:5">
      <c r="A298">
        <v>46474</v>
      </c>
      <c r="B298" s="8"/>
      <c r="C298" s="9" t="str">
        <f t="shared" si="4"/>
        <v/>
      </c>
      <c r="D298" s="8"/>
      <c r="E298" s="8"/>
    </row>
    <row r="299" spans="1:5">
      <c r="A299">
        <v>46475</v>
      </c>
      <c r="B299" s="8"/>
      <c r="C299" s="9" t="str">
        <f t="shared" si="4"/>
        <v/>
      </c>
      <c r="D299" s="8"/>
      <c r="E299" s="8"/>
    </row>
    <row r="300" spans="1:5">
      <c r="A300">
        <v>46476</v>
      </c>
      <c r="B300" s="8"/>
      <c r="C300" s="9" t="str">
        <f t="shared" si="4"/>
        <v/>
      </c>
      <c r="D300" s="8"/>
      <c r="E300" s="8"/>
    </row>
    <row r="301" spans="1:5">
      <c r="A301">
        <v>46477</v>
      </c>
      <c r="B301" s="8"/>
      <c r="C301" s="9" t="str">
        <f t="shared" si="4"/>
        <v/>
      </c>
      <c r="D301" s="8"/>
      <c r="E301" s="8"/>
    </row>
    <row r="302" spans="1:5">
      <c r="A302">
        <v>46478</v>
      </c>
      <c r="B302" s="8"/>
      <c r="C302" s="9" t="str">
        <f t="shared" si="4"/>
        <v/>
      </c>
      <c r="D302" s="8"/>
      <c r="E302" s="8"/>
    </row>
    <row r="303" spans="1:5">
      <c r="A303">
        <v>46479</v>
      </c>
      <c r="B303" s="8"/>
      <c r="C303" s="9" t="str">
        <f t="shared" si="4"/>
        <v/>
      </c>
      <c r="D303" s="8"/>
      <c r="E303" s="8"/>
    </row>
    <row r="304" spans="1:5">
      <c r="A304">
        <v>46480</v>
      </c>
      <c r="B304" s="8"/>
      <c r="C304" s="9" t="str">
        <f t="shared" si="4"/>
        <v/>
      </c>
      <c r="D304" s="8"/>
      <c r="E304" s="8"/>
    </row>
    <row r="305" spans="1:5">
      <c r="A305">
        <v>46481</v>
      </c>
      <c r="B305" s="8"/>
      <c r="C305" s="9" t="str">
        <f t="shared" si="4"/>
        <v/>
      </c>
      <c r="D305" s="8"/>
      <c r="E305" s="8"/>
    </row>
    <row r="306" spans="1:5">
      <c r="A306">
        <v>46482</v>
      </c>
      <c r="B306" s="8"/>
      <c r="C306" s="9" t="str">
        <f t="shared" si="4"/>
        <v/>
      </c>
      <c r="D306" s="8"/>
      <c r="E306" s="8"/>
    </row>
    <row r="307" spans="1:5">
      <c r="A307">
        <v>46483</v>
      </c>
      <c r="B307" s="8"/>
      <c r="C307" s="9" t="str">
        <f t="shared" si="4"/>
        <v/>
      </c>
      <c r="D307" s="8"/>
      <c r="E307" s="8"/>
    </row>
    <row r="308" spans="1:5">
      <c r="A308">
        <v>46484</v>
      </c>
      <c r="B308" s="8"/>
      <c r="C308" s="9" t="str">
        <f t="shared" si="4"/>
        <v/>
      </c>
      <c r="D308" s="8"/>
      <c r="E308" s="8"/>
    </row>
    <row r="309" spans="1:5">
      <c r="A309">
        <v>46485</v>
      </c>
      <c r="B309" s="8"/>
      <c r="C309" s="9" t="str">
        <f t="shared" si="4"/>
        <v/>
      </c>
      <c r="D309" s="8"/>
      <c r="E309" s="8"/>
    </row>
    <row r="310" spans="1:5">
      <c r="A310">
        <v>46486</v>
      </c>
      <c r="B310" s="8"/>
      <c r="C310" s="9" t="str">
        <f t="shared" si="4"/>
        <v/>
      </c>
      <c r="D310" s="8"/>
      <c r="E310" s="8"/>
    </row>
    <row r="311" spans="1:5">
      <c r="A311">
        <v>46487</v>
      </c>
      <c r="B311" s="8"/>
      <c r="C311" s="9" t="str">
        <f t="shared" si="4"/>
        <v/>
      </c>
      <c r="D311" s="8"/>
      <c r="E311" s="8"/>
    </row>
    <row r="312" spans="1:5">
      <c r="A312">
        <v>46488</v>
      </c>
      <c r="B312" s="8"/>
      <c r="C312" s="9" t="str">
        <f t="shared" si="4"/>
        <v/>
      </c>
      <c r="D312" s="8"/>
      <c r="E312" s="8"/>
    </row>
    <row r="313" spans="1:5">
      <c r="A313">
        <v>46489</v>
      </c>
      <c r="B313" s="8"/>
      <c r="C313" s="9" t="str">
        <f t="shared" si="4"/>
        <v/>
      </c>
      <c r="D313" s="8"/>
      <c r="E313" s="8"/>
    </row>
    <row r="314" spans="1:5">
      <c r="A314">
        <v>46490</v>
      </c>
      <c r="B314" s="8"/>
      <c r="C314" s="9" t="str">
        <f t="shared" si="4"/>
        <v/>
      </c>
      <c r="D314" s="8"/>
      <c r="E314" s="8"/>
    </row>
    <row r="315" spans="1:5">
      <c r="A315">
        <v>46491</v>
      </c>
      <c r="B315" s="8"/>
      <c r="C315" s="9" t="str">
        <f t="shared" si="4"/>
        <v/>
      </c>
      <c r="D315" s="8"/>
      <c r="E315" s="8"/>
    </row>
    <row r="316" spans="1:5">
      <c r="A316">
        <v>46492</v>
      </c>
      <c r="B316" s="8"/>
      <c r="C316" s="9" t="str">
        <f t="shared" si="4"/>
        <v/>
      </c>
      <c r="D316" s="8"/>
      <c r="E316" s="8"/>
    </row>
    <row r="317" spans="1:5">
      <c r="A317">
        <v>46493</v>
      </c>
      <c r="B317" s="8"/>
      <c r="C317" s="9" t="str">
        <f t="shared" si="4"/>
        <v/>
      </c>
      <c r="D317" s="8"/>
      <c r="E317" s="8"/>
    </row>
    <row r="318" spans="1:5">
      <c r="A318">
        <v>46494</v>
      </c>
      <c r="B318" s="8"/>
      <c r="C318" s="9" t="str">
        <f t="shared" si="4"/>
        <v/>
      </c>
      <c r="D318" s="8"/>
      <c r="E318" s="8"/>
    </row>
    <row r="319" spans="1:5">
      <c r="A319">
        <v>46495</v>
      </c>
      <c r="B319" s="8"/>
      <c r="C319" s="9" t="str">
        <f t="shared" si="4"/>
        <v/>
      </c>
      <c r="D319" s="8"/>
      <c r="E319" s="8"/>
    </row>
    <row r="320" spans="1:5">
      <c r="A320">
        <v>46496</v>
      </c>
      <c r="B320" s="8"/>
      <c r="C320" s="9" t="str">
        <f t="shared" si="4"/>
        <v/>
      </c>
      <c r="D320" s="8"/>
      <c r="E320" s="8"/>
    </row>
    <row r="321" spans="1:5">
      <c r="A321">
        <v>46497</v>
      </c>
      <c r="B321" s="8"/>
      <c r="C321" s="9" t="str">
        <f t="shared" si="4"/>
        <v/>
      </c>
      <c r="D321" s="8"/>
      <c r="E321" s="8"/>
    </row>
    <row r="322" spans="1:5">
      <c r="A322">
        <v>46498</v>
      </c>
      <c r="B322" s="8"/>
      <c r="C322" s="9" t="str">
        <f t="shared" si="4"/>
        <v/>
      </c>
      <c r="D322" s="8"/>
      <c r="E322" s="8"/>
    </row>
    <row r="323" spans="1:5">
      <c r="A323">
        <v>46499</v>
      </c>
      <c r="B323" s="8"/>
      <c r="C323" s="9" t="str">
        <f t="shared" si="4"/>
        <v/>
      </c>
      <c r="D323" s="8"/>
      <c r="E323" s="8"/>
    </row>
    <row r="324" spans="1:5">
      <c r="A324">
        <v>46500</v>
      </c>
      <c r="B324" s="8"/>
      <c r="C324" s="9" t="str">
        <f t="shared" si="4"/>
        <v/>
      </c>
      <c r="D324" s="8"/>
      <c r="E324" s="8"/>
    </row>
    <row r="325" spans="1:5">
      <c r="A325">
        <v>46501</v>
      </c>
      <c r="B325" s="8"/>
      <c r="C325" s="9" t="str">
        <f t="shared" si="4"/>
        <v/>
      </c>
      <c r="D325" s="8"/>
      <c r="E325" s="8"/>
    </row>
    <row r="326" spans="1:5">
      <c r="A326">
        <v>46502</v>
      </c>
      <c r="B326" s="8"/>
      <c r="C326" s="9" t="str">
        <f t="shared" si="4"/>
        <v/>
      </c>
      <c r="D326" s="8"/>
      <c r="E326" s="8"/>
    </row>
    <row r="327" spans="1:5">
      <c r="A327">
        <v>46503</v>
      </c>
      <c r="B327" s="8"/>
      <c r="C327" s="9" t="str">
        <f t="shared" si="4"/>
        <v/>
      </c>
      <c r="D327" s="8"/>
      <c r="E327" s="8"/>
    </row>
    <row r="328" spans="1:5">
      <c r="A328">
        <v>46504</v>
      </c>
      <c r="B328" s="8"/>
      <c r="C328" s="9" t="str">
        <f t="shared" ref="C328:C391" si="5">IF(COUNT(B322:B328)=0,"",AVERAGE(B322:B328))</f>
        <v/>
      </c>
      <c r="D328" s="8"/>
      <c r="E328" s="8"/>
    </row>
    <row r="329" spans="1:5">
      <c r="A329">
        <v>46505</v>
      </c>
      <c r="B329" s="8"/>
      <c r="C329" s="9" t="str">
        <f t="shared" si="5"/>
        <v/>
      </c>
      <c r="D329" s="8"/>
      <c r="E329" s="8"/>
    </row>
    <row r="330" spans="1:5">
      <c r="A330">
        <v>46506</v>
      </c>
      <c r="B330" s="8"/>
      <c r="C330" s="9" t="str">
        <f t="shared" si="5"/>
        <v/>
      </c>
      <c r="D330" s="8"/>
      <c r="E330" s="8"/>
    </row>
    <row r="331" spans="1:5">
      <c r="A331">
        <v>46507</v>
      </c>
      <c r="B331" s="8"/>
      <c r="C331" s="9" t="str">
        <f t="shared" si="5"/>
        <v/>
      </c>
      <c r="D331" s="8"/>
      <c r="E331" s="8"/>
    </row>
    <row r="332" spans="1:5">
      <c r="A332">
        <v>46508</v>
      </c>
      <c r="B332" s="8"/>
      <c r="C332" s="9" t="str">
        <f t="shared" si="5"/>
        <v/>
      </c>
      <c r="D332" s="8"/>
      <c r="E332" s="8"/>
    </row>
    <row r="333" spans="1:5">
      <c r="A333">
        <v>46509</v>
      </c>
      <c r="B333" s="8"/>
      <c r="C333" s="9" t="str">
        <f t="shared" si="5"/>
        <v/>
      </c>
      <c r="D333" s="8"/>
      <c r="E333" s="8"/>
    </row>
    <row r="334" spans="1:5">
      <c r="A334">
        <v>46510</v>
      </c>
      <c r="B334" s="8"/>
      <c r="C334" s="9" t="str">
        <f t="shared" si="5"/>
        <v/>
      </c>
      <c r="D334" s="8"/>
      <c r="E334" s="8"/>
    </row>
    <row r="335" spans="1:5">
      <c r="A335">
        <v>46511</v>
      </c>
      <c r="B335" s="8"/>
      <c r="C335" s="9" t="str">
        <f t="shared" si="5"/>
        <v/>
      </c>
      <c r="D335" s="8"/>
      <c r="E335" s="8"/>
    </row>
    <row r="336" spans="1:5">
      <c r="A336">
        <v>46512</v>
      </c>
      <c r="B336" s="8"/>
      <c r="C336" s="9" t="str">
        <f t="shared" si="5"/>
        <v/>
      </c>
      <c r="D336" s="8"/>
      <c r="E336" s="8"/>
    </row>
    <row r="337" spans="1:5">
      <c r="A337">
        <v>46513</v>
      </c>
      <c r="B337" s="8"/>
      <c r="C337" s="9" t="str">
        <f t="shared" si="5"/>
        <v/>
      </c>
      <c r="D337" s="8"/>
      <c r="E337" s="8"/>
    </row>
    <row r="338" spans="1:5">
      <c r="A338">
        <v>46514</v>
      </c>
      <c r="B338" s="8"/>
      <c r="C338" s="9" t="str">
        <f t="shared" si="5"/>
        <v/>
      </c>
      <c r="D338" s="8"/>
      <c r="E338" s="8"/>
    </row>
    <row r="339" spans="1:5">
      <c r="A339">
        <v>46515</v>
      </c>
      <c r="B339" s="8"/>
      <c r="C339" s="9" t="str">
        <f t="shared" si="5"/>
        <v/>
      </c>
      <c r="D339" s="8"/>
      <c r="E339" s="8"/>
    </row>
    <row r="340" spans="1:5">
      <c r="A340">
        <v>46516</v>
      </c>
      <c r="B340" s="8"/>
      <c r="C340" s="9" t="str">
        <f t="shared" si="5"/>
        <v/>
      </c>
      <c r="D340" s="8"/>
      <c r="E340" s="8"/>
    </row>
    <row r="341" spans="1:5">
      <c r="A341">
        <v>46517</v>
      </c>
      <c r="B341" s="8"/>
      <c r="C341" s="9" t="str">
        <f t="shared" si="5"/>
        <v/>
      </c>
      <c r="D341" s="8"/>
      <c r="E341" s="8"/>
    </row>
    <row r="342" spans="1:5">
      <c r="A342">
        <v>46518</v>
      </c>
      <c r="B342" s="8"/>
      <c r="C342" s="9" t="str">
        <f t="shared" si="5"/>
        <v/>
      </c>
      <c r="D342" s="8"/>
      <c r="E342" s="8"/>
    </row>
    <row r="343" spans="1:5">
      <c r="A343">
        <v>46519</v>
      </c>
      <c r="B343" s="8"/>
      <c r="C343" s="9" t="str">
        <f t="shared" si="5"/>
        <v/>
      </c>
      <c r="D343" s="8"/>
      <c r="E343" s="8"/>
    </row>
    <row r="344" spans="1:5">
      <c r="A344">
        <v>46520</v>
      </c>
      <c r="B344" s="8"/>
      <c r="C344" s="9" t="str">
        <f t="shared" si="5"/>
        <v/>
      </c>
      <c r="D344" s="8"/>
      <c r="E344" s="8"/>
    </row>
    <row r="345" spans="1:5">
      <c r="A345">
        <v>46521</v>
      </c>
      <c r="B345" s="8"/>
      <c r="C345" s="9" t="str">
        <f t="shared" si="5"/>
        <v/>
      </c>
      <c r="D345" s="8"/>
      <c r="E345" s="8"/>
    </row>
    <row r="346" spans="1:5">
      <c r="A346">
        <v>46522</v>
      </c>
      <c r="B346" s="8"/>
      <c r="C346" s="9" t="str">
        <f t="shared" si="5"/>
        <v/>
      </c>
      <c r="D346" s="8"/>
      <c r="E346" s="8"/>
    </row>
    <row r="347" spans="1:5">
      <c r="A347">
        <v>46523</v>
      </c>
      <c r="B347" s="8"/>
      <c r="C347" s="9" t="str">
        <f t="shared" si="5"/>
        <v/>
      </c>
      <c r="D347" s="8"/>
      <c r="E347" s="8"/>
    </row>
    <row r="348" spans="1:5">
      <c r="A348">
        <v>46524</v>
      </c>
      <c r="B348" s="8"/>
      <c r="C348" s="9" t="str">
        <f t="shared" si="5"/>
        <v/>
      </c>
      <c r="D348" s="8"/>
      <c r="E348" s="8"/>
    </row>
    <row r="349" spans="1:5">
      <c r="A349">
        <v>46525</v>
      </c>
      <c r="B349" s="8"/>
      <c r="C349" s="9" t="str">
        <f t="shared" si="5"/>
        <v/>
      </c>
      <c r="D349" s="8"/>
      <c r="E349" s="8"/>
    </row>
    <row r="350" spans="1:5">
      <c r="A350">
        <v>46526</v>
      </c>
      <c r="B350" s="8"/>
      <c r="C350" s="9" t="str">
        <f t="shared" si="5"/>
        <v/>
      </c>
      <c r="D350" s="8"/>
      <c r="E350" s="8"/>
    </row>
    <row r="351" spans="1:5">
      <c r="A351">
        <v>46527</v>
      </c>
      <c r="B351" s="8"/>
      <c r="C351" s="9" t="str">
        <f t="shared" si="5"/>
        <v/>
      </c>
      <c r="D351" s="8"/>
      <c r="E351" s="8"/>
    </row>
    <row r="352" spans="1:5">
      <c r="A352">
        <v>46528</v>
      </c>
      <c r="B352" s="8"/>
      <c r="C352" s="9" t="str">
        <f t="shared" si="5"/>
        <v/>
      </c>
      <c r="D352" s="8"/>
      <c r="E352" s="8"/>
    </row>
    <row r="353" spans="1:5">
      <c r="A353">
        <v>46529</v>
      </c>
      <c r="B353" s="8"/>
      <c r="C353" s="9" t="str">
        <f t="shared" si="5"/>
        <v/>
      </c>
      <c r="D353" s="8"/>
      <c r="E353" s="8"/>
    </row>
    <row r="354" spans="1:5">
      <c r="A354">
        <v>46530</v>
      </c>
      <c r="B354" s="8"/>
      <c r="C354" s="9" t="str">
        <f t="shared" si="5"/>
        <v/>
      </c>
      <c r="D354" s="8"/>
      <c r="E354" s="8"/>
    </row>
    <row r="355" spans="1:5">
      <c r="A355">
        <v>46531</v>
      </c>
      <c r="B355" s="8"/>
      <c r="C355" s="9" t="str">
        <f t="shared" si="5"/>
        <v/>
      </c>
      <c r="D355" s="8"/>
      <c r="E355" s="8"/>
    </row>
    <row r="356" spans="1:5">
      <c r="A356">
        <v>46532</v>
      </c>
      <c r="B356" s="8"/>
      <c r="C356" s="9" t="str">
        <f t="shared" si="5"/>
        <v/>
      </c>
      <c r="D356" s="8"/>
      <c r="E356" s="8"/>
    </row>
    <row r="357" spans="1:5">
      <c r="A357">
        <v>46533</v>
      </c>
      <c r="B357" s="8"/>
      <c r="C357" s="9" t="str">
        <f t="shared" si="5"/>
        <v/>
      </c>
      <c r="D357" s="8"/>
      <c r="E357" s="8"/>
    </row>
    <row r="358" spans="1:5">
      <c r="A358">
        <v>46534</v>
      </c>
      <c r="B358" s="8"/>
      <c r="C358" s="9" t="str">
        <f t="shared" si="5"/>
        <v/>
      </c>
      <c r="D358" s="8"/>
      <c r="E358" s="8"/>
    </row>
    <row r="359" spans="1:5">
      <c r="A359">
        <v>46535</v>
      </c>
      <c r="B359" s="8"/>
      <c r="C359" s="9" t="str">
        <f t="shared" si="5"/>
        <v/>
      </c>
      <c r="D359" s="8"/>
      <c r="E359" s="8"/>
    </row>
    <row r="360" spans="1:5">
      <c r="A360">
        <v>46536</v>
      </c>
      <c r="B360" s="8"/>
      <c r="C360" s="9" t="str">
        <f t="shared" si="5"/>
        <v/>
      </c>
      <c r="D360" s="8"/>
      <c r="E360" s="8"/>
    </row>
    <row r="361" spans="1:5">
      <c r="A361">
        <v>46537</v>
      </c>
      <c r="B361" s="8"/>
      <c r="C361" s="9" t="str">
        <f t="shared" si="5"/>
        <v/>
      </c>
      <c r="D361" s="8"/>
      <c r="E361" s="8"/>
    </row>
    <row r="362" spans="1:5">
      <c r="A362">
        <v>46538</v>
      </c>
      <c r="B362" s="8"/>
      <c r="C362" s="9" t="str">
        <f t="shared" si="5"/>
        <v/>
      </c>
      <c r="D362" s="8"/>
      <c r="E362" s="8"/>
    </row>
    <row r="363" spans="1:5">
      <c r="A363">
        <v>46539</v>
      </c>
      <c r="B363" s="8"/>
      <c r="C363" s="9" t="str">
        <f t="shared" si="5"/>
        <v/>
      </c>
      <c r="D363" s="8"/>
      <c r="E363" s="8"/>
    </row>
    <row r="364" spans="1:5">
      <c r="A364">
        <v>46540</v>
      </c>
      <c r="B364" s="8"/>
      <c r="C364" s="9" t="str">
        <f t="shared" si="5"/>
        <v/>
      </c>
      <c r="D364" s="8"/>
      <c r="E364" s="8"/>
    </row>
    <row r="365" spans="1:5">
      <c r="A365">
        <v>46541</v>
      </c>
      <c r="B365" s="8"/>
      <c r="C365" s="9" t="str">
        <f t="shared" si="5"/>
        <v/>
      </c>
      <c r="D365" s="8"/>
      <c r="E365" s="8"/>
    </row>
    <row r="366" spans="1:5">
      <c r="A366">
        <v>46542</v>
      </c>
      <c r="B366" s="8"/>
      <c r="C366" s="9" t="str">
        <f t="shared" si="5"/>
        <v/>
      </c>
      <c r="D366" s="8"/>
      <c r="E366" s="8"/>
    </row>
    <row r="367" spans="1:5">
      <c r="A367">
        <v>46543</v>
      </c>
      <c r="B367" s="8"/>
      <c r="C367" s="9" t="str">
        <f t="shared" si="5"/>
        <v/>
      </c>
      <c r="D367" s="8"/>
      <c r="E367" s="8"/>
    </row>
    <row r="368" spans="1:5">
      <c r="A368">
        <v>46544</v>
      </c>
      <c r="B368" s="8"/>
      <c r="C368" s="9" t="str">
        <f t="shared" si="5"/>
        <v/>
      </c>
      <c r="D368" s="8"/>
      <c r="E368" s="8"/>
    </row>
    <row r="369" spans="1:5">
      <c r="A369">
        <v>46545</v>
      </c>
      <c r="B369" s="8"/>
      <c r="C369" s="9" t="str">
        <f t="shared" si="5"/>
        <v/>
      </c>
      <c r="D369" s="8"/>
      <c r="E369" s="8"/>
    </row>
    <row r="370" spans="1:5">
      <c r="A370">
        <v>46546</v>
      </c>
      <c r="B370" s="8"/>
      <c r="C370" s="9" t="str">
        <f t="shared" si="5"/>
        <v/>
      </c>
      <c r="D370" s="8"/>
      <c r="E370" s="8"/>
    </row>
    <row r="371" spans="1:5">
      <c r="A371">
        <v>46547</v>
      </c>
      <c r="B371" s="8"/>
      <c r="C371" s="9" t="str">
        <f t="shared" si="5"/>
        <v/>
      </c>
      <c r="D371" s="8"/>
      <c r="E371" s="8"/>
    </row>
  </sheetData>
  <phoneticPr fontId="6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/>
  </sheetViews>
  <sheetFormatPr defaultRowHeight="13.8"/>
  <cols>
    <col min="1" max="1" width="28" customWidth="1"/>
    <col min="2" max="2" width="7.796875" customWidth="1"/>
    <col min="3" max="3" width="16.09765625" customWidth="1"/>
    <col min="4" max="4" width="10" customWidth="1"/>
    <col min="5" max="6" width="7.8984375" customWidth="1"/>
    <col min="7" max="9" width="28" customWidth="1"/>
    <col min="10" max="10" width="8.59765625" customWidth="1"/>
  </cols>
  <sheetData>
    <row r="1" spans="1:10" ht="25.65" customHeight="1">
      <c r="A1" s="1" t="s">
        <v>96</v>
      </c>
      <c r="B1" s="1" t="s">
        <v>97</v>
      </c>
      <c r="C1" s="1" t="s">
        <v>98</v>
      </c>
      <c r="D1" s="1" t="s">
        <v>69</v>
      </c>
      <c r="E1" s="1" t="s">
        <v>70</v>
      </c>
      <c r="F1" s="1" t="s">
        <v>71</v>
      </c>
      <c r="G1" s="1" t="s">
        <v>10</v>
      </c>
      <c r="H1" s="1" t="s">
        <v>99</v>
      </c>
      <c r="I1" s="1" t="s">
        <v>100</v>
      </c>
      <c r="J1" s="1" t="s">
        <v>101</v>
      </c>
    </row>
    <row r="2" spans="1:10">
      <c r="A2" t="s">
        <v>102</v>
      </c>
      <c r="B2" t="s">
        <v>103</v>
      </c>
      <c r="C2">
        <v>75</v>
      </c>
      <c r="D2">
        <v>6.2</v>
      </c>
      <c r="E2">
        <v>5</v>
      </c>
      <c r="F2">
        <v>0.4</v>
      </c>
      <c r="G2" t="s">
        <v>104</v>
      </c>
      <c r="H2" t="s">
        <v>105</v>
      </c>
      <c r="I2" t="s">
        <v>106</v>
      </c>
      <c r="J2" t="s">
        <v>107</v>
      </c>
    </row>
    <row r="3" spans="1:10">
      <c r="A3" t="s">
        <v>108</v>
      </c>
      <c r="B3" t="s">
        <v>109</v>
      </c>
      <c r="C3">
        <v>65</v>
      </c>
      <c r="D3">
        <v>3.7</v>
      </c>
      <c r="E3">
        <v>3.1</v>
      </c>
      <c r="F3">
        <v>5.5</v>
      </c>
      <c r="G3" t="s">
        <v>110</v>
      </c>
      <c r="H3" t="s">
        <v>111</v>
      </c>
      <c r="I3" t="s">
        <v>112</v>
      </c>
      <c r="J3" t="s">
        <v>113</v>
      </c>
    </row>
    <row r="4" spans="1:10">
      <c r="A4" t="s">
        <v>114</v>
      </c>
      <c r="B4" t="s">
        <v>115</v>
      </c>
      <c r="C4">
        <v>111</v>
      </c>
      <c r="D4">
        <v>4.4000000000000004</v>
      </c>
      <c r="E4">
        <v>2</v>
      </c>
      <c r="F4">
        <v>20.6</v>
      </c>
      <c r="G4" t="s">
        <v>116</v>
      </c>
      <c r="H4" t="s">
        <v>105</v>
      </c>
      <c r="I4" t="s">
        <v>117</v>
      </c>
      <c r="J4" t="s">
        <v>118</v>
      </c>
    </row>
    <row r="5" spans="1:10">
      <c r="A5" t="s">
        <v>119</v>
      </c>
      <c r="B5" t="s">
        <v>120</v>
      </c>
      <c r="C5">
        <v>222</v>
      </c>
      <c r="D5">
        <v>3.8</v>
      </c>
      <c r="E5">
        <v>0.6</v>
      </c>
      <c r="F5">
        <v>48</v>
      </c>
      <c r="G5" t="s">
        <v>121</v>
      </c>
      <c r="H5" t="s">
        <v>111</v>
      </c>
      <c r="I5" t="s">
        <v>122</v>
      </c>
      <c r="J5" t="s">
        <v>123</v>
      </c>
    </row>
    <row r="6" spans="1:10">
      <c r="A6" t="s">
        <v>124</v>
      </c>
      <c r="B6" t="s">
        <v>109</v>
      </c>
      <c r="C6">
        <v>8</v>
      </c>
      <c r="D6">
        <v>0.2</v>
      </c>
      <c r="E6">
        <v>0</v>
      </c>
      <c r="F6">
        <v>3.5</v>
      </c>
      <c r="G6" t="s">
        <v>125</v>
      </c>
      <c r="H6" t="s">
        <v>126</v>
      </c>
      <c r="I6" t="s">
        <v>127</v>
      </c>
      <c r="J6" t="s">
        <v>128</v>
      </c>
    </row>
    <row r="7" spans="1:10">
      <c r="A7" t="s">
        <v>129</v>
      </c>
      <c r="B7" t="s">
        <v>109</v>
      </c>
      <c r="C7">
        <v>25</v>
      </c>
      <c r="D7">
        <v>1.6</v>
      </c>
      <c r="E7">
        <v>0.2</v>
      </c>
      <c r="F7">
        <v>5</v>
      </c>
      <c r="G7" t="s">
        <v>130</v>
      </c>
      <c r="H7" t="s">
        <v>126</v>
      </c>
      <c r="I7" t="s">
        <v>131</v>
      </c>
      <c r="J7" t="s">
        <v>132</v>
      </c>
    </row>
    <row r="8" spans="1:10">
      <c r="A8" t="s">
        <v>30</v>
      </c>
      <c r="B8" t="s">
        <v>133</v>
      </c>
      <c r="C8">
        <v>90</v>
      </c>
      <c r="D8">
        <v>1.1000000000000001</v>
      </c>
      <c r="E8">
        <v>0.2</v>
      </c>
      <c r="F8">
        <v>23</v>
      </c>
      <c r="G8" t="s">
        <v>134</v>
      </c>
      <c r="H8" t="s">
        <v>126</v>
      </c>
      <c r="I8" t="s">
        <v>127</v>
      </c>
      <c r="J8" t="s">
        <v>135</v>
      </c>
    </row>
    <row r="9" spans="1:10">
      <c r="A9" t="s">
        <v>87</v>
      </c>
      <c r="B9" t="s">
        <v>136</v>
      </c>
      <c r="C9">
        <v>120</v>
      </c>
      <c r="D9">
        <v>23</v>
      </c>
      <c r="E9">
        <v>2.5</v>
      </c>
      <c r="F9">
        <v>0</v>
      </c>
      <c r="G9" t="s">
        <v>137</v>
      </c>
      <c r="H9" t="s">
        <v>126</v>
      </c>
      <c r="I9" t="s">
        <v>127</v>
      </c>
      <c r="J9" t="s">
        <v>55</v>
      </c>
    </row>
    <row r="10" spans="1:10">
      <c r="A10" t="s">
        <v>138</v>
      </c>
      <c r="B10" t="s">
        <v>136</v>
      </c>
      <c r="C10">
        <v>180</v>
      </c>
      <c r="D10">
        <v>18</v>
      </c>
      <c r="E10">
        <v>12</v>
      </c>
      <c r="F10">
        <v>0</v>
      </c>
      <c r="G10" t="s">
        <v>139</v>
      </c>
      <c r="H10" t="s">
        <v>126</v>
      </c>
      <c r="I10" t="s">
        <v>127</v>
      </c>
      <c r="J10" t="s">
        <v>55</v>
      </c>
    </row>
    <row r="11" spans="1:10">
      <c r="A11" t="s">
        <v>82</v>
      </c>
      <c r="B11" t="s">
        <v>136</v>
      </c>
      <c r="C11">
        <v>220</v>
      </c>
      <c r="D11">
        <v>20</v>
      </c>
      <c r="E11">
        <v>15</v>
      </c>
      <c r="F11">
        <v>0</v>
      </c>
      <c r="G11" t="s">
        <v>140</v>
      </c>
      <c r="H11" t="s">
        <v>126</v>
      </c>
      <c r="I11" t="s">
        <v>127</v>
      </c>
      <c r="J11" t="s">
        <v>55</v>
      </c>
    </row>
    <row r="12" spans="1:10">
      <c r="A12" t="s">
        <v>85</v>
      </c>
      <c r="B12" t="s">
        <v>136</v>
      </c>
      <c r="C12">
        <v>180</v>
      </c>
      <c r="D12">
        <v>20</v>
      </c>
      <c r="E12">
        <v>10</v>
      </c>
      <c r="F12">
        <v>0</v>
      </c>
      <c r="G12" t="s">
        <v>141</v>
      </c>
      <c r="H12" t="s">
        <v>126</v>
      </c>
      <c r="I12" t="s">
        <v>127</v>
      </c>
      <c r="J12" t="s">
        <v>55</v>
      </c>
    </row>
    <row r="13" spans="1:10">
      <c r="A13" t="s">
        <v>90</v>
      </c>
      <c r="B13" t="s">
        <v>136</v>
      </c>
      <c r="C13">
        <v>230</v>
      </c>
      <c r="D13">
        <v>18</v>
      </c>
      <c r="E13">
        <v>17</v>
      </c>
      <c r="F13">
        <v>0</v>
      </c>
      <c r="G13" t="s">
        <v>142</v>
      </c>
      <c r="H13" t="s">
        <v>126</v>
      </c>
      <c r="I13" t="s">
        <v>127</v>
      </c>
      <c r="J13" t="s">
        <v>55</v>
      </c>
    </row>
    <row r="14" spans="1:10">
      <c r="A14" t="s">
        <v>143</v>
      </c>
      <c r="B14" t="s">
        <v>136</v>
      </c>
      <c r="C14">
        <v>350</v>
      </c>
      <c r="D14">
        <v>14</v>
      </c>
      <c r="E14">
        <v>32</v>
      </c>
      <c r="F14">
        <v>0</v>
      </c>
      <c r="G14" t="s">
        <v>144</v>
      </c>
      <c r="H14" t="s">
        <v>126</v>
      </c>
      <c r="I14" t="s">
        <v>127</v>
      </c>
      <c r="J14" t="s">
        <v>55</v>
      </c>
    </row>
    <row r="15" spans="1:10">
      <c r="A15" t="s">
        <v>145</v>
      </c>
      <c r="B15" t="s">
        <v>146</v>
      </c>
      <c r="C15">
        <v>1</v>
      </c>
      <c r="D15">
        <v>0</v>
      </c>
      <c r="E15">
        <v>0</v>
      </c>
      <c r="F15">
        <v>0</v>
      </c>
      <c r="G15" t="s">
        <v>147</v>
      </c>
      <c r="H15" t="s">
        <v>148</v>
      </c>
      <c r="I15" t="s">
        <v>149</v>
      </c>
      <c r="J15" t="s">
        <v>150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"/>
  <sheetViews>
    <sheetView workbookViewId="0"/>
  </sheetViews>
  <sheetFormatPr defaultRowHeight="13.8"/>
  <cols>
    <col min="1" max="1" width="8.5" customWidth="1"/>
    <col min="2" max="4" width="12.09765625" customWidth="1"/>
    <col min="5" max="5" width="9.59765625" customWidth="1"/>
    <col min="6" max="6" width="10.09765625" customWidth="1"/>
    <col min="7" max="8" width="12.796875" customWidth="1"/>
    <col min="9" max="9" width="28" customWidth="1"/>
  </cols>
  <sheetData>
    <row r="1" spans="1:9">
      <c r="A1" s="2" t="s">
        <v>151</v>
      </c>
      <c r="B1" s="3" t="s">
        <v>68</v>
      </c>
      <c r="C1" s="3" t="s">
        <v>78</v>
      </c>
      <c r="D1" s="3" t="s">
        <v>79</v>
      </c>
      <c r="E1" s="3" t="s">
        <v>72</v>
      </c>
      <c r="F1" s="3" t="s">
        <v>75</v>
      </c>
      <c r="G1" s="3" t="s">
        <v>152</v>
      </c>
      <c r="H1" s="3" t="s">
        <v>153</v>
      </c>
      <c r="I1" s="1" t="s">
        <v>10</v>
      </c>
    </row>
    <row r="2" spans="1:9">
      <c r="A2">
        <v>46178</v>
      </c>
      <c r="B2">
        <f>SUMIFS(Daily_Log!$W:$W,Daily_Log!$A:$A,"&gt;="&amp;A2,Daily_Log!$A:$A,"&lt;"&amp;A2+7)</f>
        <v>11787.5</v>
      </c>
      <c r="C2">
        <f>SUMIFS(Daily_Log!$AG:$AG,Daily_Log!$A:$A,"&gt;="&amp;A2,Daily_Log!$A:$A,"&lt;"&amp;A2+7)</f>
        <v>21600</v>
      </c>
      <c r="D2">
        <f t="shared" ref="D2:D33" si="0">B2-C2</f>
        <v>-9812.5</v>
      </c>
      <c r="E2">
        <f>SUMIFS(Daily_Log!$AA:$AA,Daily_Log!$A:$A,"&gt;="&amp;A2,Daily_Log!$A:$A,"&lt;"&amp;A2+7)</f>
        <v>32.5</v>
      </c>
      <c r="F2">
        <f>SUMIFS(Daily_Log!$AD:$AD,Daily_Log!$A:$A,"&gt;="&amp;A2,Daily_Log!$A:$A,"&lt;"&amp;A2+7)</f>
        <v>7</v>
      </c>
      <c r="G2">
        <f>IFERROR(AVERAGEIFS(Weight_Log!$B:$B,Weight_Log!$A:$A,"&gt;="&amp;A2,Weight_Log!$A:$A,"&lt;"&amp;A2+7),"")</f>
        <v>80</v>
      </c>
      <c r="H2" t="e">
        <f t="shared" ref="H2:H33" si="1">IF(OR(G2="",G1=""),"",G2-G1)</f>
        <v>#VALUE!</v>
      </c>
    </row>
    <row r="3" spans="1:9">
      <c r="A3">
        <v>46185</v>
      </c>
      <c r="B3">
        <f>SUMIFS(Daily_Log!$W:$W,Daily_Log!$A:$A,"&gt;="&amp;A3,Daily_Log!$A:$A,"&lt;"&amp;A3+7)</f>
        <v>12062.5</v>
      </c>
      <c r="C3">
        <f>SUMIFS(Daily_Log!$AG:$AG,Daily_Log!$A:$A,"&gt;="&amp;A3,Daily_Log!$A:$A,"&lt;"&amp;A3+7)</f>
        <v>21600</v>
      </c>
      <c r="D3">
        <f t="shared" si="0"/>
        <v>-9537.5</v>
      </c>
      <c r="E3">
        <f>SUMIFS(Daily_Log!$AA:$AA,Daily_Log!$A:$A,"&gt;="&amp;A3,Daily_Log!$A:$A,"&lt;"&amp;A3+7)</f>
        <v>32.5</v>
      </c>
      <c r="F3">
        <f>SUMIFS(Daily_Log!$AD:$AD,Daily_Log!$A:$A,"&gt;="&amp;A3,Daily_Log!$A:$A,"&lt;"&amp;A3+7)</f>
        <v>7</v>
      </c>
      <c r="G3" t="str">
        <f>IFERROR(AVERAGEIFS(Weight_Log!$B:$B,Weight_Log!$A:$A,"&gt;="&amp;A3,Weight_Log!$A:$A,"&lt;"&amp;A3+7),"")</f>
        <v/>
      </c>
      <c r="H3" t="str">
        <f t="shared" si="1"/>
        <v/>
      </c>
    </row>
    <row r="4" spans="1:9">
      <c r="A4">
        <v>46192</v>
      </c>
      <c r="B4">
        <f>SUMIFS(Daily_Log!$W:$W,Daily_Log!$A:$A,"&gt;="&amp;A4,Daily_Log!$A:$A,"&lt;"&amp;A4+7)</f>
        <v>11912.5</v>
      </c>
      <c r="C4">
        <f>SUMIFS(Daily_Log!$AG:$AG,Daily_Log!$A:$A,"&gt;="&amp;A4,Daily_Log!$A:$A,"&lt;"&amp;A4+7)</f>
        <v>21600</v>
      </c>
      <c r="D4">
        <f t="shared" si="0"/>
        <v>-9687.5</v>
      </c>
      <c r="E4">
        <f>SUMIFS(Daily_Log!$AA:$AA,Daily_Log!$A:$A,"&gt;="&amp;A4,Daily_Log!$A:$A,"&lt;"&amp;A4+7)</f>
        <v>32.5</v>
      </c>
      <c r="F4">
        <f>SUMIFS(Daily_Log!$AD:$AD,Daily_Log!$A:$A,"&gt;="&amp;A4,Daily_Log!$A:$A,"&lt;"&amp;A4+7)</f>
        <v>7</v>
      </c>
      <c r="G4" t="str">
        <f>IFERROR(AVERAGEIFS(Weight_Log!$B:$B,Weight_Log!$A:$A,"&gt;="&amp;A4,Weight_Log!$A:$A,"&lt;"&amp;A4+7),"")</f>
        <v/>
      </c>
      <c r="H4" t="str">
        <f t="shared" si="1"/>
        <v/>
      </c>
    </row>
    <row r="5" spans="1:9">
      <c r="A5">
        <v>46199</v>
      </c>
      <c r="B5">
        <f>SUMIFS(Daily_Log!$W:$W,Daily_Log!$A:$A,"&gt;="&amp;A5,Daily_Log!$A:$A,"&lt;"&amp;A5+7)</f>
        <v>11812.5</v>
      </c>
      <c r="C5">
        <f>SUMIFS(Daily_Log!$AG:$AG,Daily_Log!$A:$A,"&gt;="&amp;A5,Daily_Log!$A:$A,"&lt;"&amp;A5+7)</f>
        <v>21600</v>
      </c>
      <c r="D5">
        <f t="shared" si="0"/>
        <v>-9787.5</v>
      </c>
      <c r="E5">
        <f>SUMIFS(Daily_Log!$AA:$AA,Daily_Log!$A:$A,"&gt;="&amp;A5,Daily_Log!$A:$A,"&lt;"&amp;A5+7)</f>
        <v>32.5</v>
      </c>
      <c r="F5">
        <f>SUMIFS(Daily_Log!$AD:$AD,Daily_Log!$A:$A,"&gt;="&amp;A5,Daily_Log!$A:$A,"&lt;"&amp;A5+7)</f>
        <v>7</v>
      </c>
      <c r="G5" t="str">
        <f>IFERROR(AVERAGEIFS(Weight_Log!$B:$B,Weight_Log!$A:$A,"&gt;="&amp;A5,Weight_Log!$A:$A,"&lt;"&amp;A5+7),"")</f>
        <v/>
      </c>
      <c r="H5" t="str">
        <f t="shared" si="1"/>
        <v/>
      </c>
    </row>
    <row r="6" spans="1:9">
      <c r="A6">
        <v>46206</v>
      </c>
      <c r="B6">
        <f>SUMIFS(Daily_Log!$W:$W,Daily_Log!$A:$A,"&gt;="&amp;A6,Daily_Log!$A:$A,"&lt;"&amp;A6+7)</f>
        <v>11787.5</v>
      </c>
      <c r="C6">
        <f>SUMIFS(Daily_Log!$AG:$AG,Daily_Log!$A:$A,"&gt;="&amp;A6,Daily_Log!$A:$A,"&lt;"&amp;A6+7)</f>
        <v>21600</v>
      </c>
      <c r="D6">
        <f t="shared" si="0"/>
        <v>-9812.5</v>
      </c>
      <c r="E6">
        <f>SUMIFS(Daily_Log!$AA:$AA,Daily_Log!$A:$A,"&gt;="&amp;A6,Daily_Log!$A:$A,"&lt;"&amp;A6+7)</f>
        <v>32.5</v>
      </c>
      <c r="F6">
        <f>SUMIFS(Daily_Log!$AD:$AD,Daily_Log!$A:$A,"&gt;="&amp;A6,Daily_Log!$A:$A,"&lt;"&amp;A6+7)</f>
        <v>7</v>
      </c>
      <c r="G6" t="str">
        <f>IFERROR(AVERAGEIFS(Weight_Log!$B:$B,Weight_Log!$A:$A,"&gt;="&amp;A6,Weight_Log!$A:$A,"&lt;"&amp;A6+7),"")</f>
        <v/>
      </c>
      <c r="H6" t="str">
        <f t="shared" si="1"/>
        <v/>
      </c>
    </row>
    <row r="7" spans="1:9">
      <c r="A7">
        <v>46213</v>
      </c>
      <c r="B7">
        <f>SUMIFS(Daily_Log!$W:$W,Daily_Log!$A:$A,"&gt;="&amp;A7,Daily_Log!$A:$A,"&lt;"&amp;A7+7)</f>
        <v>12062.5</v>
      </c>
      <c r="C7">
        <f>SUMIFS(Daily_Log!$AG:$AG,Daily_Log!$A:$A,"&gt;="&amp;A7,Daily_Log!$A:$A,"&lt;"&amp;A7+7)</f>
        <v>21600</v>
      </c>
      <c r="D7">
        <f t="shared" si="0"/>
        <v>-9537.5</v>
      </c>
      <c r="E7">
        <f>SUMIFS(Daily_Log!$AA:$AA,Daily_Log!$A:$A,"&gt;="&amp;A7,Daily_Log!$A:$A,"&lt;"&amp;A7+7)</f>
        <v>32.5</v>
      </c>
      <c r="F7">
        <f>SUMIFS(Daily_Log!$AD:$AD,Daily_Log!$A:$A,"&gt;="&amp;A7,Daily_Log!$A:$A,"&lt;"&amp;A7+7)</f>
        <v>7</v>
      </c>
      <c r="G7" t="str">
        <f>IFERROR(AVERAGEIFS(Weight_Log!$B:$B,Weight_Log!$A:$A,"&gt;="&amp;A7,Weight_Log!$A:$A,"&lt;"&amp;A7+7),"")</f>
        <v/>
      </c>
      <c r="H7" t="str">
        <f t="shared" si="1"/>
        <v/>
      </c>
    </row>
    <row r="8" spans="1:9">
      <c r="A8">
        <v>46220</v>
      </c>
      <c r="B8">
        <f>SUMIFS(Daily_Log!$W:$W,Daily_Log!$A:$A,"&gt;="&amp;A8,Daily_Log!$A:$A,"&lt;"&amp;A8+7)</f>
        <v>11912.5</v>
      </c>
      <c r="C8">
        <f>SUMIFS(Daily_Log!$AG:$AG,Daily_Log!$A:$A,"&gt;="&amp;A8,Daily_Log!$A:$A,"&lt;"&amp;A8+7)</f>
        <v>21600</v>
      </c>
      <c r="D8">
        <f t="shared" si="0"/>
        <v>-9687.5</v>
      </c>
      <c r="E8">
        <f>SUMIFS(Daily_Log!$AA:$AA,Daily_Log!$A:$A,"&gt;="&amp;A8,Daily_Log!$A:$A,"&lt;"&amp;A8+7)</f>
        <v>32.5</v>
      </c>
      <c r="F8">
        <f>SUMIFS(Daily_Log!$AD:$AD,Daily_Log!$A:$A,"&gt;="&amp;A8,Daily_Log!$A:$A,"&lt;"&amp;A8+7)</f>
        <v>7</v>
      </c>
      <c r="G8" t="str">
        <f>IFERROR(AVERAGEIFS(Weight_Log!$B:$B,Weight_Log!$A:$A,"&gt;="&amp;A8,Weight_Log!$A:$A,"&lt;"&amp;A8+7),"")</f>
        <v/>
      </c>
      <c r="H8" t="str">
        <f t="shared" si="1"/>
        <v/>
      </c>
    </row>
    <row r="9" spans="1:9">
      <c r="A9">
        <v>46227</v>
      </c>
      <c r="B9">
        <f>SUMIFS(Daily_Log!$W:$W,Daily_Log!$A:$A,"&gt;="&amp;A9,Daily_Log!$A:$A,"&lt;"&amp;A9+7)</f>
        <v>11812.5</v>
      </c>
      <c r="C9">
        <f>SUMIFS(Daily_Log!$AG:$AG,Daily_Log!$A:$A,"&gt;="&amp;A9,Daily_Log!$A:$A,"&lt;"&amp;A9+7)</f>
        <v>21600</v>
      </c>
      <c r="D9">
        <f t="shared" si="0"/>
        <v>-9787.5</v>
      </c>
      <c r="E9">
        <f>SUMIFS(Daily_Log!$AA:$AA,Daily_Log!$A:$A,"&gt;="&amp;A9,Daily_Log!$A:$A,"&lt;"&amp;A9+7)</f>
        <v>32.5</v>
      </c>
      <c r="F9">
        <f>SUMIFS(Daily_Log!$AD:$AD,Daily_Log!$A:$A,"&gt;="&amp;A9,Daily_Log!$A:$A,"&lt;"&amp;A9+7)</f>
        <v>7</v>
      </c>
      <c r="G9" t="str">
        <f>IFERROR(AVERAGEIFS(Weight_Log!$B:$B,Weight_Log!$A:$A,"&gt;="&amp;A9,Weight_Log!$A:$A,"&lt;"&amp;A9+7),"")</f>
        <v/>
      </c>
      <c r="H9" t="str">
        <f t="shared" si="1"/>
        <v/>
      </c>
    </row>
    <row r="10" spans="1:9">
      <c r="A10">
        <v>46234</v>
      </c>
      <c r="B10">
        <f>SUMIFS(Daily_Log!$W:$W,Daily_Log!$A:$A,"&gt;="&amp;A10,Daily_Log!$A:$A,"&lt;"&amp;A10+7)</f>
        <v>11787.5</v>
      </c>
      <c r="C10">
        <f>SUMIFS(Daily_Log!$AG:$AG,Daily_Log!$A:$A,"&gt;="&amp;A10,Daily_Log!$A:$A,"&lt;"&amp;A10+7)</f>
        <v>21600</v>
      </c>
      <c r="D10">
        <f t="shared" si="0"/>
        <v>-9812.5</v>
      </c>
      <c r="E10">
        <f>SUMIFS(Daily_Log!$AA:$AA,Daily_Log!$A:$A,"&gt;="&amp;A10,Daily_Log!$A:$A,"&lt;"&amp;A10+7)</f>
        <v>32.5</v>
      </c>
      <c r="F10">
        <f>SUMIFS(Daily_Log!$AD:$AD,Daily_Log!$A:$A,"&gt;="&amp;A10,Daily_Log!$A:$A,"&lt;"&amp;A10+7)</f>
        <v>7</v>
      </c>
      <c r="G10" t="str">
        <f>IFERROR(AVERAGEIFS(Weight_Log!$B:$B,Weight_Log!$A:$A,"&gt;="&amp;A10,Weight_Log!$A:$A,"&lt;"&amp;A10+7),"")</f>
        <v/>
      </c>
      <c r="H10" t="str">
        <f t="shared" si="1"/>
        <v/>
      </c>
    </row>
    <row r="11" spans="1:9">
      <c r="A11">
        <v>46241</v>
      </c>
      <c r="B11">
        <f>SUMIFS(Daily_Log!$W:$W,Daily_Log!$A:$A,"&gt;="&amp;A11,Daily_Log!$A:$A,"&lt;"&amp;A11+7)</f>
        <v>12062.5</v>
      </c>
      <c r="C11">
        <f>SUMIFS(Daily_Log!$AG:$AG,Daily_Log!$A:$A,"&gt;="&amp;A11,Daily_Log!$A:$A,"&lt;"&amp;A11+7)</f>
        <v>21600</v>
      </c>
      <c r="D11">
        <f t="shared" si="0"/>
        <v>-9537.5</v>
      </c>
      <c r="E11">
        <f>SUMIFS(Daily_Log!$AA:$AA,Daily_Log!$A:$A,"&gt;="&amp;A11,Daily_Log!$A:$A,"&lt;"&amp;A11+7)</f>
        <v>32.5</v>
      </c>
      <c r="F11">
        <f>SUMIFS(Daily_Log!$AD:$AD,Daily_Log!$A:$A,"&gt;="&amp;A11,Daily_Log!$A:$A,"&lt;"&amp;A11+7)</f>
        <v>7</v>
      </c>
      <c r="G11" t="str">
        <f>IFERROR(AVERAGEIFS(Weight_Log!$B:$B,Weight_Log!$A:$A,"&gt;="&amp;A11,Weight_Log!$A:$A,"&lt;"&amp;A11+7),"")</f>
        <v/>
      </c>
      <c r="H11" t="str">
        <f t="shared" si="1"/>
        <v/>
      </c>
    </row>
    <row r="12" spans="1:9">
      <c r="A12">
        <v>46248</v>
      </c>
      <c r="B12">
        <f>SUMIFS(Daily_Log!$W:$W,Daily_Log!$A:$A,"&gt;="&amp;A12,Daily_Log!$A:$A,"&lt;"&amp;A12+7)</f>
        <v>11912.5</v>
      </c>
      <c r="C12">
        <f>SUMIFS(Daily_Log!$AG:$AG,Daily_Log!$A:$A,"&gt;="&amp;A12,Daily_Log!$A:$A,"&lt;"&amp;A12+7)</f>
        <v>21600</v>
      </c>
      <c r="D12">
        <f t="shared" si="0"/>
        <v>-9687.5</v>
      </c>
      <c r="E12">
        <f>SUMIFS(Daily_Log!$AA:$AA,Daily_Log!$A:$A,"&gt;="&amp;A12,Daily_Log!$A:$A,"&lt;"&amp;A12+7)</f>
        <v>32.5</v>
      </c>
      <c r="F12">
        <f>SUMIFS(Daily_Log!$AD:$AD,Daily_Log!$A:$A,"&gt;="&amp;A12,Daily_Log!$A:$A,"&lt;"&amp;A12+7)</f>
        <v>7</v>
      </c>
      <c r="G12" t="str">
        <f>IFERROR(AVERAGEIFS(Weight_Log!$B:$B,Weight_Log!$A:$A,"&gt;="&amp;A12,Weight_Log!$A:$A,"&lt;"&amp;A12+7),"")</f>
        <v/>
      </c>
      <c r="H12" t="str">
        <f t="shared" si="1"/>
        <v/>
      </c>
    </row>
    <row r="13" spans="1:9">
      <c r="A13">
        <v>46255</v>
      </c>
      <c r="B13">
        <f>SUMIFS(Daily_Log!$W:$W,Daily_Log!$A:$A,"&gt;="&amp;A13,Daily_Log!$A:$A,"&lt;"&amp;A13+7)</f>
        <v>11812.5</v>
      </c>
      <c r="C13">
        <f>SUMIFS(Daily_Log!$AG:$AG,Daily_Log!$A:$A,"&gt;="&amp;A13,Daily_Log!$A:$A,"&lt;"&amp;A13+7)</f>
        <v>21600</v>
      </c>
      <c r="D13">
        <f t="shared" si="0"/>
        <v>-9787.5</v>
      </c>
      <c r="E13">
        <f>SUMIFS(Daily_Log!$AA:$AA,Daily_Log!$A:$A,"&gt;="&amp;A13,Daily_Log!$A:$A,"&lt;"&amp;A13+7)</f>
        <v>32.5</v>
      </c>
      <c r="F13">
        <f>SUMIFS(Daily_Log!$AD:$AD,Daily_Log!$A:$A,"&gt;="&amp;A13,Daily_Log!$A:$A,"&lt;"&amp;A13+7)</f>
        <v>7</v>
      </c>
      <c r="G13" t="str">
        <f>IFERROR(AVERAGEIFS(Weight_Log!$B:$B,Weight_Log!$A:$A,"&gt;="&amp;A13,Weight_Log!$A:$A,"&lt;"&amp;A13+7),"")</f>
        <v/>
      </c>
      <c r="H13" t="str">
        <f t="shared" si="1"/>
        <v/>
      </c>
    </row>
    <row r="14" spans="1:9">
      <c r="A14">
        <v>46262</v>
      </c>
      <c r="B14">
        <f>SUMIFS(Daily_Log!$W:$W,Daily_Log!$A:$A,"&gt;="&amp;A14,Daily_Log!$A:$A,"&lt;"&amp;A14+7)</f>
        <v>11787.5</v>
      </c>
      <c r="C14">
        <f>SUMIFS(Daily_Log!$AG:$AG,Daily_Log!$A:$A,"&gt;="&amp;A14,Daily_Log!$A:$A,"&lt;"&amp;A14+7)</f>
        <v>21600</v>
      </c>
      <c r="D14">
        <f t="shared" si="0"/>
        <v>-9812.5</v>
      </c>
      <c r="E14">
        <f>SUMIFS(Daily_Log!$AA:$AA,Daily_Log!$A:$A,"&gt;="&amp;A14,Daily_Log!$A:$A,"&lt;"&amp;A14+7)</f>
        <v>32.5</v>
      </c>
      <c r="F14">
        <f>SUMIFS(Daily_Log!$AD:$AD,Daily_Log!$A:$A,"&gt;="&amp;A14,Daily_Log!$A:$A,"&lt;"&amp;A14+7)</f>
        <v>7</v>
      </c>
      <c r="G14" t="str">
        <f>IFERROR(AVERAGEIFS(Weight_Log!$B:$B,Weight_Log!$A:$A,"&gt;="&amp;A14,Weight_Log!$A:$A,"&lt;"&amp;A14+7),"")</f>
        <v/>
      </c>
      <c r="H14" t="str">
        <f t="shared" si="1"/>
        <v/>
      </c>
    </row>
    <row r="15" spans="1:9">
      <c r="A15">
        <v>46269</v>
      </c>
      <c r="B15">
        <f>SUMIFS(Daily_Log!$W:$W,Daily_Log!$A:$A,"&gt;="&amp;A15,Daily_Log!$A:$A,"&lt;"&amp;A15+7)</f>
        <v>12062.5</v>
      </c>
      <c r="C15">
        <f>SUMIFS(Daily_Log!$AG:$AG,Daily_Log!$A:$A,"&gt;="&amp;A15,Daily_Log!$A:$A,"&lt;"&amp;A15+7)</f>
        <v>21600</v>
      </c>
      <c r="D15">
        <f t="shared" si="0"/>
        <v>-9537.5</v>
      </c>
      <c r="E15">
        <f>SUMIFS(Daily_Log!$AA:$AA,Daily_Log!$A:$A,"&gt;="&amp;A15,Daily_Log!$A:$A,"&lt;"&amp;A15+7)</f>
        <v>32.5</v>
      </c>
      <c r="F15">
        <f>SUMIFS(Daily_Log!$AD:$AD,Daily_Log!$A:$A,"&gt;="&amp;A15,Daily_Log!$A:$A,"&lt;"&amp;A15+7)</f>
        <v>7</v>
      </c>
      <c r="G15" t="str">
        <f>IFERROR(AVERAGEIFS(Weight_Log!$B:$B,Weight_Log!$A:$A,"&gt;="&amp;A15,Weight_Log!$A:$A,"&lt;"&amp;A15+7),"")</f>
        <v/>
      </c>
      <c r="H15" t="str">
        <f t="shared" si="1"/>
        <v/>
      </c>
    </row>
    <row r="16" spans="1:9">
      <c r="A16">
        <v>46276</v>
      </c>
      <c r="B16">
        <f>SUMIFS(Daily_Log!$W:$W,Daily_Log!$A:$A,"&gt;="&amp;A16,Daily_Log!$A:$A,"&lt;"&amp;A16+7)</f>
        <v>11912.5</v>
      </c>
      <c r="C16">
        <f>SUMIFS(Daily_Log!$AG:$AG,Daily_Log!$A:$A,"&gt;="&amp;A16,Daily_Log!$A:$A,"&lt;"&amp;A16+7)</f>
        <v>21600</v>
      </c>
      <c r="D16">
        <f t="shared" si="0"/>
        <v>-9687.5</v>
      </c>
      <c r="E16">
        <f>SUMIFS(Daily_Log!$AA:$AA,Daily_Log!$A:$A,"&gt;="&amp;A16,Daily_Log!$A:$A,"&lt;"&amp;A16+7)</f>
        <v>32.5</v>
      </c>
      <c r="F16">
        <f>SUMIFS(Daily_Log!$AD:$AD,Daily_Log!$A:$A,"&gt;="&amp;A16,Daily_Log!$A:$A,"&lt;"&amp;A16+7)</f>
        <v>7</v>
      </c>
      <c r="G16" t="str">
        <f>IFERROR(AVERAGEIFS(Weight_Log!$B:$B,Weight_Log!$A:$A,"&gt;="&amp;A16,Weight_Log!$A:$A,"&lt;"&amp;A16+7),"")</f>
        <v/>
      </c>
      <c r="H16" t="str">
        <f t="shared" si="1"/>
        <v/>
      </c>
    </row>
    <row r="17" spans="1:8">
      <c r="A17">
        <v>46283</v>
      </c>
      <c r="B17">
        <f>SUMIFS(Daily_Log!$W:$W,Daily_Log!$A:$A,"&gt;="&amp;A17,Daily_Log!$A:$A,"&lt;"&amp;A17+7)</f>
        <v>11812.5</v>
      </c>
      <c r="C17">
        <f>SUMIFS(Daily_Log!$AG:$AG,Daily_Log!$A:$A,"&gt;="&amp;A17,Daily_Log!$A:$A,"&lt;"&amp;A17+7)</f>
        <v>21600</v>
      </c>
      <c r="D17">
        <f t="shared" si="0"/>
        <v>-9787.5</v>
      </c>
      <c r="E17">
        <f>SUMIFS(Daily_Log!$AA:$AA,Daily_Log!$A:$A,"&gt;="&amp;A17,Daily_Log!$A:$A,"&lt;"&amp;A17+7)</f>
        <v>32.5</v>
      </c>
      <c r="F17">
        <f>SUMIFS(Daily_Log!$AD:$AD,Daily_Log!$A:$A,"&gt;="&amp;A17,Daily_Log!$A:$A,"&lt;"&amp;A17+7)</f>
        <v>7</v>
      </c>
      <c r="G17" t="str">
        <f>IFERROR(AVERAGEIFS(Weight_Log!$B:$B,Weight_Log!$A:$A,"&gt;="&amp;A17,Weight_Log!$A:$A,"&lt;"&amp;A17+7),"")</f>
        <v/>
      </c>
      <c r="H17" t="str">
        <f t="shared" si="1"/>
        <v/>
      </c>
    </row>
    <row r="18" spans="1:8">
      <c r="A18">
        <v>46290</v>
      </c>
      <c r="B18">
        <f>SUMIFS(Daily_Log!$W:$W,Daily_Log!$A:$A,"&gt;="&amp;A18,Daily_Log!$A:$A,"&lt;"&amp;A18+7)</f>
        <v>11787.5</v>
      </c>
      <c r="C18">
        <f>SUMIFS(Daily_Log!$AG:$AG,Daily_Log!$A:$A,"&gt;="&amp;A18,Daily_Log!$A:$A,"&lt;"&amp;A18+7)</f>
        <v>21600</v>
      </c>
      <c r="D18">
        <f t="shared" si="0"/>
        <v>-9812.5</v>
      </c>
      <c r="E18">
        <f>SUMIFS(Daily_Log!$AA:$AA,Daily_Log!$A:$A,"&gt;="&amp;A18,Daily_Log!$A:$A,"&lt;"&amp;A18+7)</f>
        <v>32.5</v>
      </c>
      <c r="F18">
        <f>SUMIFS(Daily_Log!$AD:$AD,Daily_Log!$A:$A,"&gt;="&amp;A18,Daily_Log!$A:$A,"&lt;"&amp;A18+7)</f>
        <v>7</v>
      </c>
      <c r="G18" t="str">
        <f>IFERROR(AVERAGEIFS(Weight_Log!$B:$B,Weight_Log!$A:$A,"&gt;="&amp;A18,Weight_Log!$A:$A,"&lt;"&amp;A18+7),"")</f>
        <v/>
      </c>
      <c r="H18" t="str">
        <f t="shared" si="1"/>
        <v/>
      </c>
    </row>
    <row r="19" spans="1:8">
      <c r="A19">
        <v>46297</v>
      </c>
      <c r="B19">
        <f>SUMIFS(Daily_Log!$W:$W,Daily_Log!$A:$A,"&gt;="&amp;A19,Daily_Log!$A:$A,"&lt;"&amp;A19+7)</f>
        <v>12062.5</v>
      </c>
      <c r="C19">
        <f>SUMIFS(Daily_Log!$AG:$AG,Daily_Log!$A:$A,"&gt;="&amp;A19,Daily_Log!$A:$A,"&lt;"&amp;A19+7)</f>
        <v>21600</v>
      </c>
      <c r="D19">
        <f t="shared" si="0"/>
        <v>-9537.5</v>
      </c>
      <c r="E19">
        <f>SUMIFS(Daily_Log!$AA:$AA,Daily_Log!$A:$A,"&gt;="&amp;A19,Daily_Log!$A:$A,"&lt;"&amp;A19+7)</f>
        <v>32.5</v>
      </c>
      <c r="F19">
        <f>SUMIFS(Daily_Log!$AD:$AD,Daily_Log!$A:$A,"&gt;="&amp;A19,Daily_Log!$A:$A,"&lt;"&amp;A19+7)</f>
        <v>7</v>
      </c>
      <c r="G19" t="str">
        <f>IFERROR(AVERAGEIFS(Weight_Log!$B:$B,Weight_Log!$A:$A,"&gt;="&amp;A19,Weight_Log!$A:$A,"&lt;"&amp;A19+7),"")</f>
        <v/>
      </c>
      <c r="H19" t="str">
        <f t="shared" si="1"/>
        <v/>
      </c>
    </row>
    <row r="20" spans="1:8">
      <c r="A20">
        <v>46304</v>
      </c>
      <c r="B20">
        <f>SUMIFS(Daily_Log!$W:$W,Daily_Log!$A:$A,"&gt;="&amp;A20,Daily_Log!$A:$A,"&lt;"&amp;A20+7)</f>
        <v>11912.5</v>
      </c>
      <c r="C20">
        <f>SUMIFS(Daily_Log!$AG:$AG,Daily_Log!$A:$A,"&gt;="&amp;A20,Daily_Log!$A:$A,"&lt;"&amp;A20+7)</f>
        <v>21600</v>
      </c>
      <c r="D20">
        <f t="shared" si="0"/>
        <v>-9687.5</v>
      </c>
      <c r="E20">
        <f>SUMIFS(Daily_Log!$AA:$AA,Daily_Log!$A:$A,"&gt;="&amp;A20,Daily_Log!$A:$A,"&lt;"&amp;A20+7)</f>
        <v>32.5</v>
      </c>
      <c r="F20">
        <f>SUMIFS(Daily_Log!$AD:$AD,Daily_Log!$A:$A,"&gt;="&amp;A20,Daily_Log!$A:$A,"&lt;"&amp;A20+7)</f>
        <v>7</v>
      </c>
      <c r="G20" t="str">
        <f>IFERROR(AVERAGEIFS(Weight_Log!$B:$B,Weight_Log!$A:$A,"&gt;="&amp;A20,Weight_Log!$A:$A,"&lt;"&amp;A20+7),"")</f>
        <v/>
      </c>
      <c r="H20" t="str">
        <f t="shared" si="1"/>
        <v/>
      </c>
    </row>
    <row r="21" spans="1:8">
      <c r="A21">
        <v>46311</v>
      </c>
      <c r="B21">
        <f>SUMIFS(Daily_Log!$W:$W,Daily_Log!$A:$A,"&gt;="&amp;A21,Daily_Log!$A:$A,"&lt;"&amp;A21+7)</f>
        <v>11812.5</v>
      </c>
      <c r="C21">
        <f>SUMIFS(Daily_Log!$AG:$AG,Daily_Log!$A:$A,"&gt;="&amp;A21,Daily_Log!$A:$A,"&lt;"&amp;A21+7)</f>
        <v>21600</v>
      </c>
      <c r="D21">
        <f t="shared" si="0"/>
        <v>-9787.5</v>
      </c>
      <c r="E21">
        <f>SUMIFS(Daily_Log!$AA:$AA,Daily_Log!$A:$A,"&gt;="&amp;A21,Daily_Log!$A:$A,"&lt;"&amp;A21+7)</f>
        <v>32.5</v>
      </c>
      <c r="F21">
        <f>SUMIFS(Daily_Log!$AD:$AD,Daily_Log!$A:$A,"&gt;="&amp;A21,Daily_Log!$A:$A,"&lt;"&amp;A21+7)</f>
        <v>7</v>
      </c>
      <c r="G21" t="str">
        <f>IFERROR(AVERAGEIFS(Weight_Log!$B:$B,Weight_Log!$A:$A,"&gt;="&amp;A21,Weight_Log!$A:$A,"&lt;"&amp;A21+7),"")</f>
        <v/>
      </c>
      <c r="H21" t="str">
        <f t="shared" si="1"/>
        <v/>
      </c>
    </row>
    <row r="22" spans="1:8">
      <c r="A22">
        <v>46318</v>
      </c>
      <c r="B22">
        <f>SUMIFS(Daily_Log!$W:$W,Daily_Log!$A:$A,"&gt;="&amp;A22,Daily_Log!$A:$A,"&lt;"&amp;A22+7)</f>
        <v>11787.5</v>
      </c>
      <c r="C22">
        <f>SUMIFS(Daily_Log!$AG:$AG,Daily_Log!$A:$A,"&gt;="&amp;A22,Daily_Log!$A:$A,"&lt;"&amp;A22+7)</f>
        <v>21600</v>
      </c>
      <c r="D22">
        <f t="shared" si="0"/>
        <v>-9812.5</v>
      </c>
      <c r="E22">
        <f>SUMIFS(Daily_Log!$AA:$AA,Daily_Log!$A:$A,"&gt;="&amp;A22,Daily_Log!$A:$A,"&lt;"&amp;A22+7)</f>
        <v>32.5</v>
      </c>
      <c r="F22">
        <f>SUMIFS(Daily_Log!$AD:$AD,Daily_Log!$A:$A,"&gt;="&amp;A22,Daily_Log!$A:$A,"&lt;"&amp;A22+7)</f>
        <v>7</v>
      </c>
      <c r="G22" t="str">
        <f>IFERROR(AVERAGEIFS(Weight_Log!$B:$B,Weight_Log!$A:$A,"&gt;="&amp;A22,Weight_Log!$A:$A,"&lt;"&amp;A22+7),"")</f>
        <v/>
      </c>
      <c r="H22" t="str">
        <f t="shared" si="1"/>
        <v/>
      </c>
    </row>
    <row r="23" spans="1:8">
      <c r="A23">
        <v>46325</v>
      </c>
      <c r="B23">
        <f>SUMIFS(Daily_Log!$W:$W,Daily_Log!$A:$A,"&gt;="&amp;A23,Daily_Log!$A:$A,"&lt;"&amp;A23+7)</f>
        <v>12062.5</v>
      </c>
      <c r="C23">
        <f>SUMIFS(Daily_Log!$AG:$AG,Daily_Log!$A:$A,"&gt;="&amp;A23,Daily_Log!$A:$A,"&lt;"&amp;A23+7)</f>
        <v>21600</v>
      </c>
      <c r="D23">
        <f t="shared" si="0"/>
        <v>-9537.5</v>
      </c>
      <c r="E23">
        <f>SUMIFS(Daily_Log!$AA:$AA,Daily_Log!$A:$A,"&gt;="&amp;A23,Daily_Log!$A:$A,"&lt;"&amp;A23+7)</f>
        <v>32.5</v>
      </c>
      <c r="F23">
        <f>SUMIFS(Daily_Log!$AD:$AD,Daily_Log!$A:$A,"&gt;="&amp;A23,Daily_Log!$A:$A,"&lt;"&amp;A23+7)</f>
        <v>7</v>
      </c>
      <c r="G23" t="str">
        <f>IFERROR(AVERAGEIFS(Weight_Log!$B:$B,Weight_Log!$A:$A,"&gt;="&amp;A23,Weight_Log!$A:$A,"&lt;"&amp;A23+7),"")</f>
        <v/>
      </c>
      <c r="H23" t="str">
        <f t="shared" si="1"/>
        <v/>
      </c>
    </row>
    <row r="24" spans="1:8">
      <c r="A24">
        <v>46332</v>
      </c>
      <c r="B24">
        <f>SUMIFS(Daily_Log!$W:$W,Daily_Log!$A:$A,"&gt;="&amp;A24,Daily_Log!$A:$A,"&lt;"&amp;A24+7)</f>
        <v>11912.5</v>
      </c>
      <c r="C24">
        <f>SUMIFS(Daily_Log!$AG:$AG,Daily_Log!$A:$A,"&gt;="&amp;A24,Daily_Log!$A:$A,"&lt;"&amp;A24+7)</f>
        <v>21600</v>
      </c>
      <c r="D24">
        <f t="shared" si="0"/>
        <v>-9687.5</v>
      </c>
      <c r="E24">
        <f>SUMIFS(Daily_Log!$AA:$AA,Daily_Log!$A:$A,"&gt;="&amp;A24,Daily_Log!$A:$A,"&lt;"&amp;A24+7)</f>
        <v>32.5</v>
      </c>
      <c r="F24">
        <f>SUMIFS(Daily_Log!$AD:$AD,Daily_Log!$A:$A,"&gt;="&amp;A24,Daily_Log!$A:$A,"&lt;"&amp;A24+7)</f>
        <v>7</v>
      </c>
      <c r="G24" t="str">
        <f>IFERROR(AVERAGEIFS(Weight_Log!$B:$B,Weight_Log!$A:$A,"&gt;="&amp;A24,Weight_Log!$A:$A,"&lt;"&amp;A24+7),"")</f>
        <v/>
      </c>
      <c r="H24" t="str">
        <f t="shared" si="1"/>
        <v/>
      </c>
    </row>
    <row r="25" spans="1:8">
      <c r="A25">
        <v>46339</v>
      </c>
      <c r="B25">
        <f>SUMIFS(Daily_Log!$W:$W,Daily_Log!$A:$A,"&gt;="&amp;A25,Daily_Log!$A:$A,"&lt;"&amp;A25+7)</f>
        <v>11812.5</v>
      </c>
      <c r="C25">
        <f>SUMIFS(Daily_Log!$AG:$AG,Daily_Log!$A:$A,"&gt;="&amp;A25,Daily_Log!$A:$A,"&lt;"&amp;A25+7)</f>
        <v>21600</v>
      </c>
      <c r="D25">
        <f t="shared" si="0"/>
        <v>-9787.5</v>
      </c>
      <c r="E25">
        <f>SUMIFS(Daily_Log!$AA:$AA,Daily_Log!$A:$A,"&gt;="&amp;A25,Daily_Log!$A:$A,"&lt;"&amp;A25+7)</f>
        <v>32.5</v>
      </c>
      <c r="F25">
        <f>SUMIFS(Daily_Log!$AD:$AD,Daily_Log!$A:$A,"&gt;="&amp;A25,Daily_Log!$A:$A,"&lt;"&amp;A25+7)</f>
        <v>7</v>
      </c>
      <c r="G25" t="str">
        <f>IFERROR(AVERAGEIFS(Weight_Log!$B:$B,Weight_Log!$A:$A,"&gt;="&amp;A25,Weight_Log!$A:$A,"&lt;"&amp;A25+7),"")</f>
        <v/>
      </c>
      <c r="H25" t="str">
        <f t="shared" si="1"/>
        <v/>
      </c>
    </row>
    <row r="26" spans="1:8">
      <c r="A26">
        <v>46346</v>
      </c>
      <c r="B26">
        <f>SUMIFS(Daily_Log!$W:$W,Daily_Log!$A:$A,"&gt;="&amp;A26,Daily_Log!$A:$A,"&lt;"&amp;A26+7)</f>
        <v>11787.5</v>
      </c>
      <c r="C26">
        <f>SUMIFS(Daily_Log!$AG:$AG,Daily_Log!$A:$A,"&gt;="&amp;A26,Daily_Log!$A:$A,"&lt;"&amp;A26+7)</f>
        <v>21600</v>
      </c>
      <c r="D26">
        <f t="shared" si="0"/>
        <v>-9812.5</v>
      </c>
      <c r="E26">
        <f>SUMIFS(Daily_Log!$AA:$AA,Daily_Log!$A:$A,"&gt;="&amp;A26,Daily_Log!$A:$A,"&lt;"&amp;A26+7)</f>
        <v>32.5</v>
      </c>
      <c r="F26">
        <f>SUMIFS(Daily_Log!$AD:$AD,Daily_Log!$A:$A,"&gt;="&amp;A26,Daily_Log!$A:$A,"&lt;"&amp;A26+7)</f>
        <v>7</v>
      </c>
      <c r="G26" t="str">
        <f>IFERROR(AVERAGEIFS(Weight_Log!$B:$B,Weight_Log!$A:$A,"&gt;="&amp;A26,Weight_Log!$A:$A,"&lt;"&amp;A26+7),"")</f>
        <v/>
      </c>
      <c r="H26" t="str">
        <f t="shared" si="1"/>
        <v/>
      </c>
    </row>
    <row r="27" spans="1:8">
      <c r="A27">
        <v>46353</v>
      </c>
      <c r="B27">
        <f>SUMIFS(Daily_Log!$W:$W,Daily_Log!$A:$A,"&gt;="&amp;A27,Daily_Log!$A:$A,"&lt;"&amp;A27+7)</f>
        <v>12062.5</v>
      </c>
      <c r="C27">
        <f>SUMIFS(Daily_Log!$AG:$AG,Daily_Log!$A:$A,"&gt;="&amp;A27,Daily_Log!$A:$A,"&lt;"&amp;A27+7)</f>
        <v>21600</v>
      </c>
      <c r="D27">
        <f t="shared" si="0"/>
        <v>-9537.5</v>
      </c>
      <c r="E27">
        <f>SUMIFS(Daily_Log!$AA:$AA,Daily_Log!$A:$A,"&gt;="&amp;A27,Daily_Log!$A:$A,"&lt;"&amp;A27+7)</f>
        <v>32.5</v>
      </c>
      <c r="F27">
        <f>SUMIFS(Daily_Log!$AD:$AD,Daily_Log!$A:$A,"&gt;="&amp;A27,Daily_Log!$A:$A,"&lt;"&amp;A27+7)</f>
        <v>7</v>
      </c>
      <c r="G27" t="str">
        <f>IFERROR(AVERAGEIFS(Weight_Log!$B:$B,Weight_Log!$A:$A,"&gt;="&amp;A27,Weight_Log!$A:$A,"&lt;"&amp;A27+7),"")</f>
        <v/>
      </c>
      <c r="H27" t="str">
        <f t="shared" si="1"/>
        <v/>
      </c>
    </row>
    <row r="28" spans="1:8">
      <c r="A28">
        <v>46360</v>
      </c>
      <c r="B28">
        <f>SUMIFS(Daily_Log!$W:$W,Daily_Log!$A:$A,"&gt;="&amp;A28,Daily_Log!$A:$A,"&lt;"&amp;A28+7)</f>
        <v>11912.5</v>
      </c>
      <c r="C28">
        <f>SUMIFS(Daily_Log!$AG:$AG,Daily_Log!$A:$A,"&gt;="&amp;A28,Daily_Log!$A:$A,"&lt;"&amp;A28+7)</f>
        <v>21600</v>
      </c>
      <c r="D28">
        <f t="shared" si="0"/>
        <v>-9687.5</v>
      </c>
      <c r="E28">
        <f>SUMIFS(Daily_Log!$AA:$AA,Daily_Log!$A:$A,"&gt;="&amp;A28,Daily_Log!$A:$A,"&lt;"&amp;A28+7)</f>
        <v>32.5</v>
      </c>
      <c r="F28">
        <f>SUMIFS(Daily_Log!$AD:$AD,Daily_Log!$A:$A,"&gt;="&amp;A28,Daily_Log!$A:$A,"&lt;"&amp;A28+7)</f>
        <v>7</v>
      </c>
      <c r="G28" t="str">
        <f>IFERROR(AVERAGEIFS(Weight_Log!$B:$B,Weight_Log!$A:$A,"&gt;="&amp;A28,Weight_Log!$A:$A,"&lt;"&amp;A28+7),"")</f>
        <v/>
      </c>
      <c r="H28" t="str">
        <f t="shared" si="1"/>
        <v/>
      </c>
    </row>
    <row r="29" spans="1:8">
      <c r="A29">
        <v>46367</v>
      </c>
      <c r="B29">
        <f>SUMIFS(Daily_Log!$W:$W,Daily_Log!$A:$A,"&gt;="&amp;A29,Daily_Log!$A:$A,"&lt;"&amp;A29+7)</f>
        <v>11812.5</v>
      </c>
      <c r="C29">
        <f>SUMIFS(Daily_Log!$AG:$AG,Daily_Log!$A:$A,"&gt;="&amp;A29,Daily_Log!$A:$A,"&lt;"&amp;A29+7)</f>
        <v>21600</v>
      </c>
      <c r="D29">
        <f t="shared" si="0"/>
        <v>-9787.5</v>
      </c>
      <c r="E29">
        <f>SUMIFS(Daily_Log!$AA:$AA,Daily_Log!$A:$A,"&gt;="&amp;A29,Daily_Log!$A:$A,"&lt;"&amp;A29+7)</f>
        <v>32.5</v>
      </c>
      <c r="F29">
        <f>SUMIFS(Daily_Log!$AD:$AD,Daily_Log!$A:$A,"&gt;="&amp;A29,Daily_Log!$A:$A,"&lt;"&amp;A29+7)</f>
        <v>7</v>
      </c>
      <c r="G29" t="str">
        <f>IFERROR(AVERAGEIFS(Weight_Log!$B:$B,Weight_Log!$A:$A,"&gt;="&amp;A29,Weight_Log!$A:$A,"&lt;"&amp;A29+7),"")</f>
        <v/>
      </c>
      <c r="H29" t="str">
        <f t="shared" si="1"/>
        <v/>
      </c>
    </row>
    <row r="30" spans="1:8">
      <c r="A30">
        <v>46374</v>
      </c>
      <c r="B30">
        <f>SUMIFS(Daily_Log!$W:$W,Daily_Log!$A:$A,"&gt;="&amp;A30,Daily_Log!$A:$A,"&lt;"&amp;A30+7)</f>
        <v>11787.5</v>
      </c>
      <c r="C30">
        <f>SUMIFS(Daily_Log!$AG:$AG,Daily_Log!$A:$A,"&gt;="&amp;A30,Daily_Log!$A:$A,"&lt;"&amp;A30+7)</f>
        <v>21600</v>
      </c>
      <c r="D30">
        <f t="shared" si="0"/>
        <v>-9812.5</v>
      </c>
      <c r="E30">
        <f>SUMIFS(Daily_Log!$AA:$AA,Daily_Log!$A:$A,"&gt;="&amp;A30,Daily_Log!$A:$A,"&lt;"&amp;A30+7)</f>
        <v>32.5</v>
      </c>
      <c r="F30">
        <f>SUMIFS(Daily_Log!$AD:$AD,Daily_Log!$A:$A,"&gt;="&amp;A30,Daily_Log!$A:$A,"&lt;"&amp;A30+7)</f>
        <v>7</v>
      </c>
      <c r="G30" t="str">
        <f>IFERROR(AVERAGEIFS(Weight_Log!$B:$B,Weight_Log!$A:$A,"&gt;="&amp;A30,Weight_Log!$A:$A,"&lt;"&amp;A30+7),"")</f>
        <v/>
      </c>
      <c r="H30" t="str">
        <f t="shared" si="1"/>
        <v/>
      </c>
    </row>
    <row r="31" spans="1:8">
      <c r="A31">
        <v>46381</v>
      </c>
      <c r="B31">
        <f>SUMIFS(Daily_Log!$W:$W,Daily_Log!$A:$A,"&gt;="&amp;A31,Daily_Log!$A:$A,"&lt;"&amp;A31+7)</f>
        <v>12062.5</v>
      </c>
      <c r="C31">
        <f>SUMIFS(Daily_Log!$AG:$AG,Daily_Log!$A:$A,"&gt;="&amp;A31,Daily_Log!$A:$A,"&lt;"&amp;A31+7)</f>
        <v>21600</v>
      </c>
      <c r="D31">
        <f t="shared" si="0"/>
        <v>-9537.5</v>
      </c>
      <c r="E31">
        <f>SUMIFS(Daily_Log!$AA:$AA,Daily_Log!$A:$A,"&gt;="&amp;A31,Daily_Log!$A:$A,"&lt;"&amp;A31+7)</f>
        <v>32.5</v>
      </c>
      <c r="F31">
        <f>SUMIFS(Daily_Log!$AD:$AD,Daily_Log!$A:$A,"&gt;="&amp;A31,Daily_Log!$A:$A,"&lt;"&amp;A31+7)</f>
        <v>7</v>
      </c>
      <c r="G31" t="str">
        <f>IFERROR(AVERAGEIFS(Weight_Log!$B:$B,Weight_Log!$A:$A,"&gt;="&amp;A31,Weight_Log!$A:$A,"&lt;"&amp;A31+7),"")</f>
        <v/>
      </c>
      <c r="H31" t="str">
        <f t="shared" si="1"/>
        <v/>
      </c>
    </row>
    <row r="32" spans="1:8">
      <c r="A32">
        <v>46388</v>
      </c>
      <c r="B32">
        <f>SUMIFS(Daily_Log!$W:$W,Daily_Log!$A:$A,"&gt;="&amp;A32,Daily_Log!$A:$A,"&lt;"&amp;A32+7)</f>
        <v>11912.5</v>
      </c>
      <c r="C32">
        <f>SUMIFS(Daily_Log!$AG:$AG,Daily_Log!$A:$A,"&gt;="&amp;A32,Daily_Log!$A:$A,"&lt;"&amp;A32+7)</f>
        <v>21600</v>
      </c>
      <c r="D32">
        <f t="shared" si="0"/>
        <v>-9687.5</v>
      </c>
      <c r="E32">
        <f>SUMIFS(Daily_Log!$AA:$AA,Daily_Log!$A:$A,"&gt;="&amp;A32,Daily_Log!$A:$A,"&lt;"&amp;A32+7)</f>
        <v>32.5</v>
      </c>
      <c r="F32">
        <f>SUMIFS(Daily_Log!$AD:$AD,Daily_Log!$A:$A,"&gt;="&amp;A32,Daily_Log!$A:$A,"&lt;"&amp;A32+7)</f>
        <v>7</v>
      </c>
      <c r="G32" t="str">
        <f>IFERROR(AVERAGEIFS(Weight_Log!$B:$B,Weight_Log!$A:$A,"&gt;="&amp;A32,Weight_Log!$A:$A,"&lt;"&amp;A32+7),"")</f>
        <v/>
      </c>
      <c r="H32" t="str">
        <f t="shared" si="1"/>
        <v/>
      </c>
    </row>
    <row r="33" spans="1:8">
      <c r="A33">
        <v>46395</v>
      </c>
      <c r="B33">
        <f>SUMIFS(Daily_Log!$W:$W,Daily_Log!$A:$A,"&gt;="&amp;A33,Daily_Log!$A:$A,"&lt;"&amp;A33+7)</f>
        <v>11812.5</v>
      </c>
      <c r="C33">
        <f>SUMIFS(Daily_Log!$AG:$AG,Daily_Log!$A:$A,"&gt;="&amp;A33,Daily_Log!$A:$A,"&lt;"&amp;A33+7)</f>
        <v>21600</v>
      </c>
      <c r="D33">
        <f t="shared" si="0"/>
        <v>-9787.5</v>
      </c>
      <c r="E33">
        <f>SUMIFS(Daily_Log!$AA:$AA,Daily_Log!$A:$A,"&gt;="&amp;A33,Daily_Log!$A:$A,"&lt;"&amp;A33+7)</f>
        <v>32.5</v>
      </c>
      <c r="F33">
        <f>SUMIFS(Daily_Log!$AD:$AD,Daily_Log!$A:$A,"&gt;="&amp;A33,Daily_Log!$A:$A,"&lt;"&amp;A33+7)</f>
        <v>7</v>
      </c>
      <c r="G33" t="str">
        <f>IFERROR(AVERAGEIFS(Weight_Log!$B:$B,Weight_Log!$A:$A,"&gt;="&amp;A33,Weight_Log!$A:$A,"&lt;"&amp;A33+7),"")</f>
        <v/>
      </c>
      <c r="H33" t="str">
        <f t="shared" si="1"/>
        <v/>
      </c>
    </row>
    <row r="34" spans="1:8">
      <c r="A34">
        <v>46402</v>
      </c>
      <c r="B34">
        <f>SUMIFS(Daily_Log!$W:$W,Daily_Log!$A:$A,"&gt;="&amp;A34,Daily_Log!$A:$A,"&lt;"&amp;A34+7)</f>
        <v>11787.5</v>
      </c>
      <c r="C34">
        <f>SUMIFS(Daily_Log!$AG:$AG,Daily_Log!$A:$A,"&gt;="&amp;A34,Daily_Log!$A:$A,"&lt;"&amp;A34+7)</f>
        <v>21600</v>
      </c>
      <c r="D34">
        <f t="shared" ref="D34:D65" si="2">B34-C34</f>
        <v>-9812.5</v>
      </c>
      <c r="E34">
        <f>SUMIFS(Daily_Log!$AA:$AA,Daily_Log!$A:$A,"&gt;="&amp;A34,Daily_Log!$A:$A,"&lt;"&amp;A34+7)</f>
        <v>32.5</v>
      </c>
      <c r="F34">
        <f>SUMIFS(Daily_Log!$AD:$AD,Daily_Log!$A:$A,"&gt;="&amp;A34,Daily_Log!$A:$A,"&lt;"&amp;A34+7)</f>
        <v>7</v>
      </c>
      <c r="G34" t="str">
        <f>IFERROR(AVERAGEIFS(Weight_Log!$B:$B,Weight_Log!$A:$A,"&gt;="&amp;A34,Weight_Log!$A:$A,"&lt;"&amp;A34+7),"")</f>
        <v/>
      </c>
      <c r="H34" t="str">
        <f t="shared" ref="H34:H65" si="3">IF(OR(G34="",G33=""),"",G34-G33)</f>
        <v/>
      </c>
    </row>
    <row r="35" spans="1:8">
      <c r="A35">
        <v>46409</v>
      </c>
      <c r="B35">
        <f>SUMIFS(Daily_Log!$W:$W,Daily_Log!$A:$A,"&gt;="&amp;A35,Daily_Log!$A:$A,"&lt;"&amp;A35+7)</f>
        <v>12062.5</v>
      </c>
      <c r="C35">
        <f>SUMIFS(Daily_Log!$AG:$AG,Daily_Log!$A:$A,"&gt;="&amp;A35,Daily_Log!$A:$A,"&lt;"&amp;A35+7)</f>
        <v>21600</v>
      </c>
      <c r="D35">
        <f t="shared" si="2"/>
        <v>-9537.5</v>
      </c>
      <c r="E35">
        <f>SUMIFS(Daily_Log!$AA:$AA,Daily_Log!$A:$A,"&gt;="&amp;A35,Daily_Log!$A:$A,"&lt;"&amp;A35+7)</f>
        <v>32.5</v>
      </c>
      <c r="F35">
        <f>SUMIFS(Daily_Log!$AD:$AD,Daily_Log!$A:$A,"&gt;="&amp;A35,Daily_Log!$A:$A,"&lt;"&amp;A35+7)</f>
        <v>7</v>
      </c>
      <c r="G35" t="str">
        <f>IFERROR(AVERAGEIFS(Weight_Log!$B:$B,Weight_Log!$A:$A,"&gt;="&amp;A35,Weight_Log!$A:$A,"&lt;"&amp;A35+7),"")</f>
        <v/>
      </c>
      <c r="H35" t="str">
        <f t="shared" si="3"/>
        <v/>
      </c>
    </row>
    <row r="36" spans="1:8">
      <c r="A36">
        <v>46416</v>
      </c>
      <c r="B36">
        <f>SUMIFS(Daily_Log!$W:$W,Daily_Log!$A:$A,"&gt;="&amp;A36,Daily_Log!$A:$A,"&lt;"&amp;A36+7)</f>
        <v>11912.5</v>
      </c>
      <c r="C36">
        <f>SUMIFS(Daily_Log!$AG:$AG,Daily_Log!$A:$A,"&gt;="&amp;A36,Daily_Log!$A:$A,"&lt;"&amp;A36+7)</f>
        <v>21600</v>
      </c>
      <c r="D36">
        <f t="shared" si="2"/>
        <v>-9687.5</v>
      </c>
      <c r="E36">
        <f>SUMIFS(Daily_Log!$AA:$AA,Daily_Log!$A:$A,"&gt;="&amp;A36,Daily_Log!$A:$A,"&lt;"&amp;A36+7)</f>
        <v>32.5</v>
      </c>
      <c r="F36">
        <f>SUMIFS(Daily_Log!$AD:$AD,Daily_Log!$A:$A,"&gt;="&amp;A36,Daily_Log!$A:$A,"&lt;"&amp;A36+7)</f>
        <v>7</v>
      </c>
      <c r="G36" t="str">
        <f>IFERROR(AVERAGEIFS(Weight_Log!$B:$B,Weight_Log!$A:$A,"&gt;="&amp;A36,Weight_Log!$A:$A,"&lt;"&amp;A36+7),"")</f>
        <v/>
      </c>
      <c r="H36" t="str">
        <f t="shared" si="3"/>
        <v/>
      </c>
    </row>
    <row r="37" spans="1:8">
      <c r="A37">
        <v>46423</v>
      </c>
      <c r="B37">
        <f>SUMIFS(Daily_Log!$W:$W,Daily_Log!$A:$A,"&gt;="&amp;A37,Daily_Log!$A:$A,"&lt;"&amp;A37+7)</f>
        <v>11812.5</v>
      </c>
      <c r="C37">
        <f>SUMIFS(Daily_Log!$AG:$AG,Daily_Log!$A:$A,"&gt;="&amp;A37,Daily_Log!$A:$A,"&lt;"&amp;A37+7)</f>
        <v>21600</v>
      </c>
      <c r="D37">
        <f t="shared" si="2"/>
        <v>-9787.5</v>
      </c>
      <c r="E37">
        <f>SUMIFS(Daily_Log!$AA:$AA,Daily_Log!$A:$A,"&gt;="&amp;A37,Daily_Log!$A:$A,"&lt;"&amp;A37+7)</f>
        <v>32.5</v>
      </c>
      <c r="F37">
        <f>SUMIFS(Daily_Log!$AD:$AD,Daily_Log!$A:$A,"&gt;="&amp;A37,Daily_Log!$A:$A,"&lt;"&amp;A37+7)</f>
        <v>7</v>
      </c>
      <c r="G37" t="str">
        <f>IFERROR(AVERAGEIFS(Weight_Log!$B:$B,Weight_Log!$A:$A,"&gt;="&amp;A37,Weight_Log!$A:$A,"&lt;"&amp;A37+7),"")</f>
        <v/>
      </c>
      <c r="H37" t="str">
        <f t="shared" si="3"/>
        <v/>
      </c>
    </row>
    <row r="38" spans="1:8">
      <c r="A38">
        <v>46430</v>
      </c>
      <c r="B38">
        <f>SUMIFS(Daily_Log!$W:$W,Daily_Log!$A:$A,"&gt;="&amp;A38,Daily_Log!$A:$A,"&lt;"&amp;A38+7)</f>
        <v>11787.5</v>
      </c>
      <c r="C38">
        <f>SUMIFS(Daily_Log!$AG:$AG,Daily_Log!$A:$A,"&gt;="&amp;A38,Daily_Log!$A:$A,"&lt;"&amp;A38+7)</f>
        <v>21600</v>
      </c>
      <c r="D38">
        <f t="shared" si="2"/>
        <v>-9812.5</v>
      </c>
      <c r="E38">
        <f>SUMIFS(Daily_Log!$AA:$AA,Daily_Log!$A:$A,"&gt;="&amp;A38,Daily_Log!$A:$A,"&lt;"&amp;A38+7)</f>
        <v>32.5</v>
      </c>
      <c r="F38">
        <f>SUMIFS(Daily_Log!$AD:$AD,Daily_Log!$A:$A,"&gt;="&amp;A38,Daily_Log!$A:$A,"&lt;"&amp;A38+7)</f>
        <v>7</v>
      </c>
      <c r="G38" t="str">
        <f>IFERROR(AVERAGEIFS(Weight_Log!$B:$B,Weight_Log!$A:$A,"&gt;="&amp;A38,Weight_Log!$A:$A,"&lt;"&amp;A38+7),"")</f>
        <v/>
      </c>
      <c r="H38" t="str">
        <f t="shared" si="3"/>
        <v/>
      </c>
    </row>
    <row r="39" spans="1:8">
      <c r="A39">
        <v>46437</v>
      </c>
      <c r="B39">
        <f>SUMIFS(Daily_Log!$W:$W,Daily_Log!$A:$A,"&gt;="&amp;A39,Daily_Log!$A:$A,"&lt;"&amp;A39+7)</f>
        <v>12062.5</v>
      </c>
      <c r="C39">
        <f>SUMIFS(Daily_Log!$AG:$AG,Daily_Log!$A:$A,"&gt;="&amp;A39,Daily_Log!$A:$A,"&lt;"&amp;A39+7)</f>
        <v>21600</v>
      </c>
      <c r="D39">
        <f t="shared" si="2"/>
        <v>-9537.5</v>
      </c>
      <c r="E39">
        <f>SUMIFS(Daily_Log!$AA:$AA,Daily_Log!$A:$A,"&gt;="&amp;A39,Daily_Log!$A:$A,"&lt;"&amp;A39+7)</f>
        <v>32.5</v>
      </c>
      <c r="F39">
        <f>SUMIFS(Daily_Log!$AD:$AD,Daily_Log!$A:$A,"&gt;="&amp;A39,Daily_Log!$A:$A,"&lt;"&amp;A39+7)</f>
        <v>7</v>
      </c>
      <c r="G39" t="str">
        <f>IFERROR(AVERAGEIFS(Weight_Log!$B:$B,Weight_Log!$A:$A,"&gt;="&amp;A39,Weight_Log!$A:$A,"&lt;"&amp;A39+7),"")</f>
        <v/>
      </c>
      <c r="H39" t="str">
        <f t="shared" si="3"/>
        <v/>
      </c>
    </row>
    <row r="40" spans="1:8">
      <c r="A40">
        <v>46444</v>
      </c>
      <c r="B40">
        <f>SUMIFS(Daily_Log!$W:$W,Daily_Log!$A:$A,"&gt;="&amp;A40,Daily_Log!$A:$A,"&lt;"&amp;A40+7)</f>
        <v>11912.5</v>
      </c>
      <c r="C40">
        <f>SUMIFS(Daily_Log!$AG:$AG,Daily_Log!$A:$A,"&gt;="&amp;A40,Daily_Log!$A:$A,"&lt;"&amp;A40+7)</f>
        <v>21600</v>
      </c>
      <c r="D40">
        <f t="shared" si="2"/>
        <v>-9687.5</v>
      </c>
      <c r="E40">
        <f>SUMIFS(Daily_Log!$AA:$AA,Daily_Log!$A:$A,"&gt;="&amp;A40,Daily_Log!$A:$A,"&lt;"&amp;A40+7)</f>
        <v>32.5</v>
      </c>
      <c r="F40">
        <f>SUMIFS(Daily_Log!$AD:$AD,Daily_Log!$A:$A,"&gt;="&amp;A40,Daily_Log!$A:$A,"&lt;"&amp;A40+7)</f>
        <v>7</v>
      </c>
      <c r="G40" t="str">
        <f>IFERROR(AVERAGEIFS(Weight_Log!$B:$B,Weight_Log!$A:$A,"&gt;="&amp;A40,Weight_Log!$A:$A,"&lt;"&amp;A40+7),"")</f>
        <v/>
      </c>
      <c r="H40" t="str">
        <f t="shared" si="3"/>
        <v/>
      </c>
    </row>
    <row r="41" spans="1:8">
      <c r="A41">
        <v>46451</v>
      </c>
      <c r="B41">
        <f>SUMIFS(Daily_Log!$W:$W,Daily_Log!$A:$A,"&gt;="&amp;A41,Daily_Log!$A:$A,"&lt;"&amp;A41+7)</f>
        <v>11812.5</v>
      </c>
      <c r="C41">
        <f>SUMIFS(Daily_Log!$AG:$AG,Daily_Log!$A:$A,"&gt;="&amp;A41,Daily_Log!$A:$A,"&lt;"&amp;A41+7)</f>
        <v>21600</v>
      </c>
      <c r="D41">
        <f t="shared" si="2"/>
        <v>-9787.5</v>
      </c>
      <c r="E41">
        <f>SUMIFS(Daily_Log!$AA:$AA,Daily_Log!$A:$A,"&gt;="&amp;A41,Daily_Log!$A:$A,"&lt;"&amp;A41+7)</f>
        <v>32.5</v>
      </c>
      <c r="F41">
        <f>SUMIFS(Daily_Log!$AD:$AD,Daily_Log!$A:$A,"&gt;="&amp;A41,Daily_Log!$A:$A,"&lt;"&amp;A41+7)</f>
        <v>7</v>
      </c>
      <c r="G41" t="str">
        <f>IFERROR(AVERAGEIFS(Weight_Log!$B:$B,Weight_Log!$A:$A,"&gt;="&amp;A41,Weight_Log!$A:$A,"&lt;"&amp;A41+7),"")</f>
        <v/>
      </c>
      <c r="H41" t="str">
        <f t="shared" si="3"/>
        <v/>
      </c>
    </row>
    <row r="42" spans="1:8">
      <c r="A42">
        <v>46458</v>
      </c>
      <c r="B42">
        <f>SUMIFS(Daily_Log!$W:$W,Daily_Log!$A:$A,"&gt;="&amp;A42,Daily_Log!$A:$A,"&lt;"&amp;A42+7)</f>
        <v>11787.5</v>
      </c>
      <c r="C42">
        <f>SUMIFS(Daily_Log!$AG:$AG,Daily_Log!$A:$A,"&gt;="&amp;A42,Daily_Log!$A:$A,"&lt;"&amp;A42+7)</f>
        <v>21600</v>
      </c>
      <c r="D42">
        <f t="shared" si="2"/>
        <v>-9812.5</v>
      </c>
      <c r="E42">
        <f>SUMIFS(Daily_Log!$AA:$AA,Daily_Log!$A:$A,"&gt;="&amp;A42,Daily_Log!$A:$A,"&lt;"&amp;A42+7)</f>
        <v>32.5</v>
      </c>
      <c r="F42">
        <f>SUMIFS(Daily_Log!$AD:$AD,Daily_Log!$A:$A,"&gt;="&amp;A42,Daily_Log!$A:$A,"&lt;"&amp;A42+7)</f>
        <v>7</v>
      </c>
      <c r="G42" t="str">
        <f>IFERROR(AVERAGEIFS(Weight_Log!$B:$B,Weight_Log!$A:$A,"&gt;="&amp;A42,Weight_Log!$A:$A,"&lt;"&amp;A42+7),"")</f>
        <v/>
      </c>
      <c r="H42" t="str">
        <f t="shared" si="3"/>
        <v/>
      </c>
    </row>
    <row r="43" spans="1:8">
      <c r="A43">
        <v>46465</v>
      </c>
      <c r="B43">
        <f>SUMIFS(Daily_Log!$W:$W,Daily_Log!$A:$A,"&gt;="&amp;A43,Daily_Log!$A:$A,"&lt;"&amp;A43+7)</f>
        <v>12062.5</v>
      </c>
      <c r="C43">
        <f>SUMIFS(Daily_Log!$AG:$AG,Daily_Log!$A:$A,"&gt;="&amp;A43,Daily_Log!$A:$A,"&lt;"&amp;A43+7)</f>
        <v>21600</v>
      </c>
      <c r="D43">
        <f t="shared" si="2"/>
        <v>-9537.5</v>
      </c>
      <c r="E43">
        <f>SUMIFS(Daily_Log!$AA:$AA,Daily_Log!$A:$A,"&gt;="&amp;A43,Daily_Log!$A:$A,"&lt;"&amp;A43+7)</f>
        <v>32.5</v>
      </c>
      <c r="F43">
        <f>SUMIFS(Daily_Log!$AD:$AD,Daily_Log!$A:$A,"&gt;="&amp;A43,Daily_Log!$A:$A,"&lt;"&amp;A43+7)</f>
        <v>7</v>
      </c>
      <c r="G43" t="str">
        <f>IFERROR(AVERAGEIFS(Weight_Log!$B:$B,Weight_Log!$A:$A,"&gt;="&amp;A43,Weight_Log!$A:$A,"&lt;"&amp;A43+7),"")</f>
        <v/>
      </c>
      <c r="H43" t="str">
        <f t="shared" si="3"/>
        <v/>
      </c>
    </row>
    <row r="44" spans="1:8">
      <c r="A44">
        <v>46472</v>
      </c>
      <c r="B44">
        <f>SUMIFS(Daily_Log!$W:$W,Daily_Log!$A:$A,"&gt;="&amp;A44,Daily_Log!$A:$A,"&lt;"&amp;A44+7)</f>
        <v>11912.5</v>
      </c>
      <c r="C44">
        <f>SUMIFS(Daily_Log!$AG:$AG,Daily_Log!$A:$A,"&gt;="&amp;A44,Daily_Log!$A:$A,"&lt;"&amp;A44+7)</f>
        <v>21600</v>
      </c>
      <c r="D44">
        <f t="shared" si="2"/>
        <v>-9687.5</v>
      </c>
      <c r="E44">
        <f>SUMIFS(Daily_Log!$AA:$AA,Daily_Log!$A:$A,"&gt;="&amp;A44,Daily_Log!$A:$A,"&lt;"&amp;A44+7)</f>
        <v>32.5</v>
      </c>
      <c r="F44">
        <f>SUMIFS(Daily_Log!$AD:$AD,Daily_Log!$A:$A,"&gt;="&amp;A44,Daily_Log!$A:$A,"&lt;"&amp;A44+7)</f>
        <v>7</v>
      </c>
      <c r="G44" t="str">
        <f>IFERROR(AVERAGEIFS(Weight_Log!$B:$B,Weight_Log!$A:$A,"&gt;="&amp;A44,Weight_Log!$A:$A,"&lt;"&amp;A44+7),"")</f>
        <v/>
      </c>
      <c r="H44" t="str">
        <f t="shared" si="3"/>
        <v/>
      </c>
    </row>
    <row r="45" spans="1:8">
      <c r="A45">
        <v>46479</v>
      </c>
      <c r="B45">
        <f>SUMIFS(Daily_Log!$W:$W,Daily_Log!$A:$A,"&gt;="&amp;A45,Daily_Log!$A:$A,"&lt;"&amp;A45+7)</f>
        <v>11812.5</v>
      </c>
      <c r="C45">
        <f>SUMIFS(Daily_Log!$AG:$AG,Daily_Log!$A:$A,"&gt;="&amp;A45,Daily_Log!$A:$A,"&lt;"&amp;A45+7)</f>
        <v>21600</v>
      </c>
      <c r="D45">
        <f t="shared" si="2"/>
        <v>-9787.5</v>
      </c>
      <c r="E45">
        <f>SUMIFS(Daily_Log!$AA:$AA,Daily_Log!$A:$A,"&gt;="&amp;A45,Daily_Log!$A:$A,"&lt;"&amp;A45+7)</f>
        <v>32.5</v>
      </c>
      <c r="F45">
        <f>SUMIFS(Daily_Log!$AD:$AD,Daily_Log!$A:$A,"&gt;="&amp;A45,Daily_Log!$A:$A,"&lt;"&amp;A45+7)</f>
        <v>7</v>
      </c>
      <c r="G45" t="str">
        <f>IFERROR(AVERAGEIFS(Weight_Log!$B:$B,Weight_Log!$A:$A,"&gt;="&amp;A45,Weight_Log!$A:$A,"&lt;"&amp;A45+7),"")</f>
        <v/>
      </c>
      <c r="H45" t="str">
        <f t="shared" si="3"/>
        <v/>
      </c>
    </row>
    <row r="46" spans="1:8">
      <c r="A46">
        <v>46486</v>
      </c>
      <c r="B46">
        <f>SUMIFS(Daily_Log!$W:$W,Daily_Log!$A:$A,"&gt;="&amp;A46,Daily_Log!$A:$A,"&lt;"&amp;A46+7)</f>
        <v>11787.5</v>
      </c>
      <c r="C46">
        <f>SUMIFS(Daily_Log!$AG:$AG,Daily_Log!$A:$A,"&gt;="&amp;A46,Daily_Log!$A:$A,"&lt;"&amp;A46+7)</f>
        <v>21600</v>
      </c>
      <c r="D46">
        <f t="shared" si="2"/>
        <v>-9812.5</v>
      </c>
      <c r="E46">
        <f>SUMIFS(Daily_Log!$AA:$AA,Daily_Log!$A:$A,"&gt;="&amp;A46,Daily_Log!$A:$A,"&lt;"&amp;A46+7)</f>
        <v>32.5</v>
      </c>
      <c r="F46">
        <f>SUMIFS(Daily_Log!$AD:$AD,Daily_Log!$A:$A,"&gt;="&amp;A46,Daily_Log!$A:$A,"&lt;"&amp;A46+7)</f>
        <v>7</v>
      </c>
      <c r="G46" t="str">
        <f>IFERROR(AVERAGEIFS(Weight_Log!$B:$B,Weight_Log!$A:$A,"&gt;="&amp;A46,Weight_Log!$A:$A,"&lt;"&amp;A46+7),"")</f>
        <v/>
      </c>
      <c r="H46" t="str">
        <f t="shared" si="3"/>
        <v/>
      </c>
    </row>
    <row r="47" spans="1:8">
      <c r="A47">
        <v>46493</v>
      </c>
      <c r="B47">
        <f>SUMIFS(Daily_Log!$W:$W,Daily_Log!$A:$A,"&gt;="&amp;A47,Daily_Log!$A:$A,"&lt;"&amp;A47+7)</f>
        <v>12062.5</v>
      </c>
      <c r="C47">
        <f>SUMIFS(Daily_Log!$AG:$AG,Daily_Log!$A:$A,"&gt;="&amp;A47,Daily_Log!$A:$A,"&lt;"&amp;A47+7)</f>
        <v>21600</v>
      </c>
      <c r="D47">
        <f t="shared" si="2"/>
        <v>-9537.5</v>
      </c>
      <c r="E47">
        <f>SUMIFS(Daily_Log!$AA:$AA,Daily_Log!$A:$A,"&gt;="&amp;A47,Daily_Log!$A:$A,"&lt;"&amp;A47+7)</f>
        <v>32.5</v>
      </c>
      <c r="F47">
        <f>SUMIFS(Daily_Log!$AD:$AD,Daily_Log!$A:$A,"&gt;="&amp;A47,Daily_Log!$A:$A,"&lt;"&amp;A47+7)</f>
        <v>7</v>
      </c>
      <c r="G47" t="str">
        <f>IFERROR(AVERAGEIFS(Weight_Log!$B:$B,Weight_Log!$A:$A,"&gt;="&amp;A47,Weight_Log!$A:$A,"&lt;"&amp;A47+7),"")</f>
        <v/>
      </c>
      <c r="H47" t="str">
        <f t="shared" si="3"/>
        <v/>
      </c>
    </row>
    <row r="48" spans="1:8">
      <c r="A48">
        <v>46500</v>
      </c>
      <c r="B48">
        <f>SUMIFS(Daily_Log!$W:$W,Daily_Log!$A:$A,"&gt;="&amp;A48,Daily_Log!$A:$A,"&lt;"&amp;A48+7)</f>
        <v>11912.5</v>
      </c>
      <c r="C48">
        <f>SUMIFS(Daily_Log!$AG:$AG,Daily_Log!$A:$A,"&gt;="&amp;A48,Daily_Log!$A:$A,"&lt;"&amp;A48+7)</f>
        <v>21600</v>
      </c>
      <c r="D48">
        <f t="shared" si="2"/>
        <v>-9687.5</v>
      </c>
      <c r="E48">
        <f>SUMIFS(Daily_Log!$AA:$AA,Daily_Log!$A:$A,"&gt;="&amp;A48,Daily_Log!$A:$A,"&lt;"&amp;A48+7)</f>
        <v>32.5</v>
      </c>
      <c r="F48">
        <f>SUMIFS(Daily_Log!$AD:$AD,Daily_Log!$A:$A,"&gt;="&amp;A48,Daily_Log!$A:$A,"&lt;"&amp;A48+7)</f>
        <v>7</v>
      </c>
      <c r="G48" t="str">
        <f>IFERROR(AVERAGEIFS(Weight_Log!$B:$B,Weight_Log!$A:$A,"&gt;="&amp;A48,Weight_Log!$A:$A,"&lt;"&amp;A48+7),"")</f>
        <v/>
      </c>
      <c r="H48" t="str">
        <f t="shared" si="3"/>
        <v/>
      </c>
    </row>
    <row r="49" spans="1:8">
      <c r="A49">
        <v>46507</v>
      </c>
      <c r="B49">
        <f>SUMIFS(Daily_Log!$W:$W,Daily_Log!$A:$A,"&gt;="&amp;A49,Daily_Log!$A:$A,"&lt;"&amp;A49+7)</f>
        <v>11812.5</v>
      </c>
      <c r="C49">
        <f>SUMIFS(Daily_Log!$AG:$AG,Daily_Log!$A:$A,"&gt;="&amp;A49,Daily_Log!$A:$A,"&lt;"&amp;A49+7)</f>
        <v>21600</v>
      </c>
      <c r="D49">
        <f t="shared" si="2"/>
        <v>-9787.5</v>
      </c>
      <c r="E49">
        <f>SUMIFS(Daily_Log!$AA:$AA,Daily_Log!$A:$A,"&gt;="&amp;A49,Daily_Log!$A:$A,"&lt;"&amp;A49+7)</f>
        <v>32.5</v>
      </c>
      <c r="F49">
        <f>SUMIFS(Daily_Log!$AD:$AD,Daily_Log!$A:$A,"&gt;="&amp;A49,Daily_Log!$A:$A,"&lt;"&amp;A49+7)</f>
        <v>7</v>
      </c>
      <c r="G49" t="str">
        <f>IFERROR(AVERAGEIFS(Weight_Log!$B:$B,Weight_Log!$A:$A,"&gt;="&amp;A49,Weight_Log!$A:$A,"&lt;"&amp;A49+7),"")</f>
        <v/>
      </c>
      <c r="H49" t="str">
        <f t="shared" si="3"/>
        <v/>
      </c>
    </row>
    <row r="50" spans="1:8">
      <c r="A50">
        <v>46514</v>
      </c>
      <c r="B50">
        <f>SUMIFS(Daily_Log!$W:$W,Daily_Log!$A:$A,"&gt;="&amp;A50,Daily_Log!$A:$A,"&lt;"&amp;A50+7)</f>
        <v>11787.5</v>
      </c>
      <c r="C50">
        <f>SUMIFS(Daily_Log!$AG:$AG,Daily_Log!$A:$A,"&gt;="&amp;A50,Daily_Log!$A:$A,"&lt;"&amp;A50+7)</f>
        <v>21600</v>
      </c>
      <c r="D50">
        <f t="shared" si="2"/>
        <v>-9812.5</v>
      </c>
      <c r="E50">
        <f>SUMIFS(Daily_Log!$AA:$AA,Daily_Log!$A:$A,"&gt;="&amp;A50,Daily_Log!$A:$A,"&lt;"&amp;A50+7)</f>
        <v>32.5</v>
      </c>
      <c r="F50">
        <f>SUMIFS(Daily_Log!$AD:$AD,Daily_Log!$A:$A,"&gt;="&amp;A50,Daily_Log!$A:$A,"&lt;"&amp;A50+7)</f>
        <v>7</v>
      </c>
      <c r="G50" t="str">
        <f>IFERROR(AVERAGEIFS(Weight_Log!$B:$B,Weight_Log!$A:$A,"&gt;="&amp;A50,Weight_Log!$A:$A,"&lt;"&amp;A50+7),"")</f>
        <v/>
      </c>
      <c r="H50" t="str">
        <f t="shared" si="3"/>
        <v/>
      </c>
    </row>
    <row r="51" spans="1:8">
      <c r="A51">
        <v>46521</v>
      </c>
      <c r="B51">
        <f>SUMIFS(Daily_Log!$W:$W,Daily_Log!$A:$A,"&gt;="&amp;A51,Daily_Log!$A:$A,"&lt;"&amp;A51+7)</f>
        <v>12062.5</v>
      </c>
      <c r="C51">
        <f>SUMIFS(Daily_Log!$AG:$AG,Daily_Log!$A:$A,"&gt;="&amp;A51,Daily_Log!$A:$A,"&lt;"&amp;A51+7)</f>
        <v>21600</v>
      </c>
      <c r="D51">
        <f t="shared" si="2"/>
        <v>-9537.5</v>
      </c>
      <c r="E51">
        <f>SUMIFS(Daily_Log!$AA:$AA,Daily_Log!$A:$A,"&gt;="&amp;A51,Daily_Log!$A:$A,"&lt;"&amp;A51+7)</f>
        <v>32.5</v>
      </c>
      <c r="F51">
        <f>SUMIFS(Daily_Log!$AD:$AD,Daily_Log!$A:$A,"&gt;="&amp;A51,Daily_Log!$A:$A,"&lt;"&amp;A51+7)</f>
        <v>7</v>
      </c>
      <c r="G51" t="str">
        <f>IFERROR(AVERAGEIFS(Weight_Log!$B:$B,Weight_Log!$A:$A,"&gt;="&amp;A51,Weight_Log!$A:$A,"&lt;"&amp;A51+7),"")</f>
        <v/>
      </c>
      <c r="H51" t="str">
        <f t="shared" si="3"/>
        <v/>
      </c>
    </row>
    <row r="52" spans="1:8">
      <c r="A52">
        <v>46528</v>
      </c>
      <c r="B52">
        <f>SUMIFS(Daily_Log!$W:$W,Daily_Log!$A:$A,"&gt;="&amp;A52,Daily_Log!$A:$A,"&lt;"&amp;A52+7)</f>
        <v>11912.5</v>
      </c>
      <c r="C52">
        <f>SUMIFS(Daily_Log!$AG:$AG,Daily_Log!$A:$A,"&gt;="&amp;A52,Daily_Log!$A:$A,"&lt;"&amp;A52+7)</f>
        <v>21600</v>
      </c>
      <c r="D52">
        <f t="shared" si="2"/>
        <v>-9687.5</v>
      </c>
      <c r="E52">
        <f>SUMIFS(Daily_Log!$AA:$AA,Daily_Log!$A:$A,"&gt;="&amp;A52,Daily_Log!$A:$A,"&lt;"&amp;A52+7)</f>
        <v>32.5</v>
      </c>
      <c r="F52">
        <f>SUMIFS(Daily_Log!$AD:$AD,Daily_Log!$A:$A,"&gt;="&amp;A52,Daily_Log!$A:$A,"&lt;"&amp;A52+7)</f>
        <v>7</v>
      </c>
      <c r="G52" t="str">
        <f>IFERROR(AVERAGEIFS(Weight_Log!$B:$B,Weight_Log!$A:$A,"&gt;="&amp;A52,Weight_Log!$A:$A,"&lt;"&amp;A52+7),"")</f>
        <v/>
      </c>
      <c r="H52" t="str">
        <f t="shared" si="3"/>
        <v/>
      </c>
    </row>
    <row r="53" spans="1:8">
      <c r="A53">
        <v>46535</v>
      </c>
      <c r="B53">
        <f>SUMIFS(Daily_Log!$W:$W,Daily_Log!$A:$A,"&gt;="&amp;A53,Daily_Log!$A:$A,"&lt;"&amp;A53+7)</f>
        <v>11812.5</v>
      </c>
      <c r="C53">
        <f>SUMIFS(Daily_Log!$AG:$AG,Daily_Log!$A:$A,"&gt;="&amp;A53,Daily_Log!$A:$A,"&lt;"&amp;A53+7)</f>
        <v>21600</v>
      </c>
      <c r="D53">
        <f t="shared" si="2"/>
        <v>-9787.5</v>
      </c>
      <c r="E53">
        <f>SUMIFS(Daily_Log!$AA:$AA,Daily_Log!$A:$A,"&gt;="&amp;A53,Daily_Log!$A:$A,"&lt;"&amp;A53+7)</f>
        <v>32.5</v>
      </c>
      <c r="F53">
        <f>SUMIFS(Daily_Log!$AD:$AD,Daily_Log!$A:$A,"&gt;="&amp;A53,Daily_Log!$A:$A,"&lt;"&amp;A53+7)</f>
        <v>7</v>
      </c>
      <c r="G53" t="str">
        <f>IFERROR(AVERAGEIFS(Weight_Log!$B:$B,Weight_Log!$A:$A,"&gt;="&amp;A53,Weight_Log!$A:$A,"&lt;"&amp;A53+7),"")</f>
        <v/>
      </c>
      <c r="H53" t="str">
        <f t="shared" si="3"/>
        <v/>
      </c>
    </row>
    <row r="54" spans="1:8">
      <c r="A54">
        <v>46542</v>
      </c>
      <c r="B54">
        <f>SUMIFS(Daily_Log!$W:$W,Daily_Log!$A:$A,"&gt;="&amp;A54,Daily_Log!$A:$A,"&lt;"&amp;A54+7)</f>
        <v>10400</v>
      </c>
      <c r="C54">
        <f>SUMIFS(Daily_Log!$AG:$AG,Daily_Log!$A:$A,"&gt;="&amp;A54,Daily_Log!$A:$A,"&lt;"&amp;A54+7)</f>
        <v>18880</v>
      </c>
      <c r="D54">
        <f t="shared" si="2"/>
        <v>-8480</v>
      </c>
      <c r="E54">
        <f>SUMIFS(Daily_Log!$AA:$AA,Daily_Log!$A:$A,"&gt;="&amp;A54,Daily_Log!$A:$A,"&lt;"&amp;A54+7)</f>
        <v>26</v>
      </c>
      <c r="F54">
        <f>SUMIFS(Daily_Log!$AD:$AD,Daily_Log!$A:$A,"&gt;="&amp;A54,Daily_Log!$A:$A,"&lt;"&amp;A54+7)</f>
        <v>7</v>
      </c>
      <c r="G54" t="str">
        <f>IFERROR(AVERAGEIFS(Weight_Log!$B:$B,Weight_Log!$A:$A,"&gt;="&amp;A54,Weight_Log!$A:$A,"&lt;"&amp;A54+7),"")</f>
        <v/>
      </c>
      <c r="H54" t="str">
        <f t="shared" si="3"/>
        <v/>
      </c>
    </row>
    <row r="55" spans="1:8">
      <c r="A55">
        <v>46549</v>
      </c>
      <c r="B55">
        <f>SUMIFS(Daily_Log!$W:$W,Daily_Log!$A:$A,"&gt;="&amp;A55,Daily_Log!$A:$A,"&lt;"&amp;A55+7)</f>
        <v>0</v>
      </c>
      <c r="C55">
        <f>SUMIFS(Daily_Log!$AG:$AG,Daily_Log!$A:$A,"&gt;="&amp;A55,Daily_Log!$A:$A,"&lt;"&amp;A55+7)</f>
        <v>0</v>
      </c>
      <c r="D55">
        <f t="shared" si="2"/>
        <v>0</v>
      </c>
      <c r="E55">
        <f>SUMIFS(Daily_Log!$AA:$AA,Daily_Log!$A:$A,"&gt;="&amp;A55,Daily_Log!$A:$A,"&lt;"&amp;A55+7)</f>
        <v>0</v>
      </c>
      <c r="F55">
        <f>SUMIFS(Daily_Log!$AD:$AD,Daily_Log!$A:$A,"&gt;="&amp;A55,Daily_Log!$A:$A,"&lt;"&amp;A55+7)</f>
        <v>0</v>
      </c>
      <c r="G55" t="str">
        <f>IFERROR(AVERAGEIFS(Weight_Log!$B:$B,Weight_Log!$A:$A,"&gt;="&amp;A55,Weight_Log!$A:$A,"&lt;"&amp;A55+7),"")</f>
        <v/>
      </c>
      <c r="H55" t="str">
        <f t="shared" si="3"/>
        <v/>
      </c>
    </row>
  </sheetData>
  <phoneticPr fontId="6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sqref="A1:F1"/>
    </sheetView>
  </sheetViews>
  <sheetFormatPr defaultRowHeight="13.8"/>
  <cols>
    <col min="1" max="1" width="11.3984375" customWidth="1"/>
    <col min="2" max="2" width="78" customWidth="1"/>
  </cols>
  <sheetData>
    <row r="1" spans="1:6" ht="21">
      <c r="A1" s="16" t="s">
        <v>154</v>
      </c>
      <c r="B1" s="16"/>
      <c r="C1" s="16"/>
      <c r="D1" s="16"/>
      <c r="E1" s="16"/>
      <c r="F1" s="16"/>
    </row>
    <row r="3" spans="1:6">
      <c r="A3" s="11" t="s">
        <v>155</v>
      </c>
      <c r="B3" s="15" t="s">
        <v>156</v>
      </c>
    </row>
    <row r="4" spans="1:6" ht="27.6">
      <c r="A4" s="11" t="s">
        <v>157</v>
      </c>
      <c r="B4" s="15" t="s">
        <v>158</v>
      </c>
    </row>
    <row r="5" spans="1:6" ht="27.6">
      <c r="A5" s="11" t="s">
        <v>159</v>
      </c>
      <c r="B5" s="15" t="s">
        <v>160</v>
      </c>
    </row>
    <row r="6" spans="1:6" ht="27.6">
      <c r="A6" s="11" t="s">
        <v>161</v>
      </c>
      <c r="B6" s="15" t="s">
        <v>162</v>
      </c>
    </row>
    <row r="7" spans="1:6" ht="27.6">
      <c r="A7" s="11" t="s">
        <v>163</v>
      </c>
      <c r="B7" s="15" t="s">
        <v>164</v>
      </c>
    </row>
    <row r="8" spans="1:6">
      <c r="A8" s="11" t="s">
        <v>165</v>
      </c>
      <c r="B8" s="15" t="s">
        <v>166</v>
      </c>
    </row>
    <row r="9" spans="1:6">
      <c r="A9" s="11" t="s">
        <v>167</v>
      </c>
      <c r="B9" s="15" t="s">
        <v>168</v>
      </c>
    </row>
  </sheetData>
  <mergeCells count="1">
    <mergeCell ref="A1:F1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Daily_Log</vt:lpstr>
      <vt:lpstr>Weight_Log</vt:lpstr>
      <vt:lpstr>Food_DB</vt:lpstr>
      <vt:lpstr>Weekly_Summary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　佳凱</cp:lastModifiedBy>
  <dcterms:modified xsi:type="dcterms:W3CDTF">2026-06-05T03:27:00Z</dcterms:modified>
</cp:coreProperties>
</file>